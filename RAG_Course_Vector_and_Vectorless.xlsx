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START_HERE" sheetId="1" state="visible" r:id="rId3"/>
    <sheet name="01_Why_RAG" sheetId="2" state="visible" r:id="rId4"/>
    <sheet name="02_Pipeline_Map" sheetId="3" state="visible" r:id="rId5"/>
    <sheet name="03_Corpus" sheetId="4" state="visible" r:id="rId6"/>
    <sheet name="04_Parse_Clean" sheetId="5" state="visible" r:id="rId7"/>
    <sheet name="05_Chunking" sheetId="6" state="visible" r:id="rId8"/>
    <sheet name="06_Chunks" sheetId="7" state="visible" r:id="rId9"/>
    <sheet name="07_Term_Matrix" sheetId="8" state="visible" r:id="rId10"/>
    <sheet name="08_Embedding_Idea" sheetId="9" state="visible" r:id="rId11"/>
    <sheet name="09_Vectors" sheetId="10" state="visible" r:id="rId12"/>
    <sheet name="10_Vector_Math" sheetId="11" state="visible" r:id="rId13"/>
    <sheet name="11_Query_To_Vector" sheetId="12" state="visible" r:id="rId14"/>
    <sheet name="12_Similarity_Search" sheetId="13" state="visible" r:id="rId15"/>
    <sheet name="13_ANN_Index" sheetId="14" state="visible" r:id="rId16"/>
    <sheet name="14_BM25" sheetId="15" state="visible" r:id="rId17"/>
    <sheet name="15_Hybrid_RRF" sheetId="16" state="visible" r:id="rId18"/>
    <sheet name="16_Reranking" sheetId="17" state="visible" r:id="rId19"/>
    <sheet name="17_Query_Transform" sheetId="18" state="visible" r:id="rId20"/>
    <sheet name="18_Context_Assembly" sheetId="19" state="visible" r:id="rId21"/>
    <sheet name="19_Generation" sheetId="20" state="visible" r:id="rId22"/>
    <sheet name="20_Vector_Failures" sheetId="21" state="visible" r:id="rId23"/>
    <sheet name="21_Vectorless_Idea" sheetId="22" state="visible" r:id="rId24"/>
    <sheet name="22_Tree_Index" sheetId="23" state="visible" r:id="rId25"/>
    <sheet name="23_Tree_Search" sheetId="24" state="visible" r:id="rId26"/>
    <sheet name="24_Multi_Hop" sheetId="25" state="visible" r:id="rId27"/>
    <sheet name="25_Head_To_Head" sheetId="26" state="visible" r:id="rId28"/>
    <sheet name="26_Evaluation" sheetId="27" state="visible" r:id="rId29"/>
    <sheet name="27_Cost_Latency" sheetId="28" state="visible" r:id="rId30"/>
    <sheet name="28_Decision_Guide" sheetId="29" state="visible" r:id="rId31"/>
    <sheet name="29_Exercises" sheetId="30" state="visible" r:id="rId32"/>
    <sheet name="30_Answers" sheetId="31" state="visible" r:id="rId33"/>
    <sheet name="31_Glossary" sheetId="32" state="visible" r:id="rId34"/>
    <sheet name="32_Build_Plan" sheetId="33" state="visible" r:id="rId3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<sst xmlns="http://schemas.openxmlformats.org/spreadsheetml/2006/main" count="2815" uniqueCount="1853">
  <si>
    <t xml:space="preserve">RAG FROM ZERO  —  A HANDS-ON COURSE IN A SPREADSHEET</t>
  </si>
  <si>
    <t xml:space="preserve">Vector-search RAG and vectorless (PageIndex) RAG, every step, with the intuition behind it</t>
  </si>
  <si>
    <t xml:space="preserve">CONTROL PANEL  —  the five cells that drive this entire workbook</t>
  </si>
  <si>
    <t xml:space="preserve">Everything downstream is a live formula. Change a yellow cell here and 33 sheets recompute: the term counts, the vectors, the cosine scores, the rankings, BM25, the fusion, the metrics. This is the whole point of doing it in Excel — you can poke the machine and watch it react.</t>
  </si>
  <si>
    <t xml:space="preserve">Query text</t>
  </si>
  <si>
    <t xml:space="preserve">How much can I claim for a home office desk</t>
  </si>
  <si>
    <t xml:space="preserve">← ask the corpus anything</t>
  </si>
  <si>
    <t xml:space="preserve">Top-K</t>
  </si>
  <si>
    <t xml:space="preserve">← how many chunks we retrieve and send to the model</t>
  </si>
  <si>
    <t xml:space="preserve">BM25  k1</t>
  </si>
  <si>
    <t xml:space="preserve">← term-frequency saturation (typical 1.2 - 2.0)</t>
  </si>
  <si>
    <t xml:space="preserve">BM25  b</t>
  </si>
  <si>
    <t xml:space="preserve">← length normalisation, 0 = ignore length, 1 = full</t>
  </si>
  <si>
    <t xml:space="preserve">RRF  k</t>
  </si>
  <si>
    <t xml:space="preserve">← rank-fusion damping constant (the standard value is 60)</t>
  </si>
  <si>
    <t xml:space="preserve">TRY THIS — Try these later, one at a time: "how many days of sick leave"  ·  "laptop stolen"  ·  "can I carry unused holiday"  ·  "who approves a fully remote role". Then try one the corpus cannot answer, like "what is the parking policy", and watch what the system does when nothing relevant exists. That last case is the one most beginners never test.</t>
  </si>
  <si>
    <t xml:space="preserve">HOW TO READ THIS WORKBOOK</t>
  </si>
  <si>
    <t xml:space="preserve">Work left to right through the tabs. Each sheet is one step of the pipeline and follows the same shape: what the step does → the intuition → the live worked example → what breaks. Do not skip the vector half even if you only care about the vectorless half; the second half only makes sense as an answer to problems you have felt in the first.</t>
  </si>
  <si>
    <t xml:space="preserve">Colour</t>
  </si>
  <si>
    <t xml:space="preserve">Meaning</t>
  </si>
  <si>
    <t xml:space="preserve">Yellow, blue bold text</t>
  </si>
  <si>
    <t xml:space="preserve">An input. This is yours to change. Nothing breaks if you edit it.</t>
  </si>
  <si>
    <t xml:space="preserve">Plain black text</t>
  </si>
  <si>
    <t xml:space="preserve">A live formula. Click it and read the formula bar — that is the lesson.</t>
  </si>
  <si>
    <t xml:space="preserve">Cream box</t>
  </si>
  <si>
    <t xml:space="preserve">Intuition. The why, not the what. These are the parts worth re-reading.</t>
  </si>
  <si>
    <t xml:space="preserve">Green fill</t>
  </si>
  <si>
    <t xml:space="preserve">The correct / desired outcome.</t>
  </si>
  <si>
    <t xml:space="preserve">Red fill</t>
  </si>
  <si>
    <t xml:space="preserve">A failure, a trap, or a wrong answer being produced convincingly.</t>
  </si>
  <si>
    <t xml:space="preserve">COURSE MAP  —  33 sheets, about 12 hours</t>
  </si>
  <si>
    <t xml:space="preserve">Sheet</t>
  </si>
  <si>
    <t xml:space="preserve">Part</t>
  </si>
  <si>
    <t xml:space="preserve">What you learn</t>
  </si>
  <si>
    <t xml:space="preserve">Time</t>
  </si>
  <si>
    <t xml:space="preserve">00_START_HERE</t>
  </si>
  <si>
    <t xml:space="preserve">0. Orientation</t>
  </si>
  <si>
    <t xml:space="preserve">How to drive this workbook</t>
  </si>
  <si>
    <t xml:space="preserve">5 min</t>
  </si>
  <si>
    <t xml:space="preserve">01_Why_RAG</t>
  </si>
  <si>
    <t xml:space="preserve">What problem RAG actually solves, and its 4 rivals</t>
  </si>
  <si>
    <t xml:space="preserve">15 min</t>
  </si>
  <si>
    <t xml:space="preserve">02_Pipeline_Map</t>
  </si>
  <si>
    <t xml:space="preserve">Both pipelines on one page, step by step</t>
  </si>
  <si>
    <t xml:space="preserve">10 min</t>
  </si>
  <si>
    <t xml:space="preserve">03_Corpus</t>
  </si>
  <si>
    <t xml:space="preserve">1. Ingestion</t>
  </si>
  <si>
    <t xml:space="preserve">The toy corpus: 2 documents, 14 sections</t>
  </si>
  <si>
    <t xml:space="preserve">04_Parse_Clean</t>
  </si>
  <si>
    <t xml:space="preserve">Step 1 - parsing and cleaning raw documents</t>
  </si>
  <si>
    <t xml:space="preserve">05_Chunking</t>
  </si>
  <si>
    <t xml:space="preserve">Step 2 - chunking: why, how, and the trade-off</t>
  </si>
  <si>
    <t xml:space="preserve">30 min</t>
  </si>
  <si>
    <t xml:space="preserve">06_Chunks</t>
  </si>
  <si>
    <t xml:space="preserve">The 18 chunks the vector system will see</t>
  </si>
  <si>
    <t xml:space="preserve">07_Term_Matrix</t>
  </si>
  <si>
    <t xml:space="preserve">2. Vector RAG</t>
  </si>
  <si>
    <t xml:space="preserve">Step 3 - text becomes numbers (live count grid)</t>
  </si>
  <si>
    <t xml:space="preserve">25 min</t>
  </si>
  <si>
    <t xml:space="preserve">08_Embedding_Idea</t>
  </si>
  <si>
    <t xml:space="preserve">Step 4 - what an embedding IS, intuitively</t>
  </si>
  <si>
    <t xml:space="preserve">09_Vectors</t>
  </si>
  <si>
    <t xml:space="preserve">Step 5 - the 8-dimensional vectors, computed live</t>
  </si>
  <si>
    <t xml:space="preserve">20 min</t>
  </si>
  <si>
    <t xml:space="preserve">10_Vector_Math</t>
  </si>
  <si>
    <t xml:space="preserve">Step 6 - dot product, length, cosine (playground)</t>
  </si>
  <si>
    <t xml:space="preserve">11_Query_To_Vector</t>
  </si>
  <si>
    <t xml:space="preserve">Step 7 - the query gets embedded the same way</t>
  </si>
  <si>
    <t xml:space="preserve">12_Similarity_Search</t>
  </si>
  <si>
    <t xml:space="preserve">Step 8 - rank all 18 chunks, take top-K</t>
  </si>
  <si>
    <t xml:space="preserve">13_ANN_Index</t>
  </si>
  <si>
    <t xml:space="preserve">Step 9 - why brute force breaks, and HNSW/IVF</t>
  </si>
  <si>
    <t xml:space="preserve">14_BM25</t>
  </si>
  <si>
    <t xml:space="preserve">Step 10 - keyword search and BM25, live</t>
  </si>
  <si>
    <t xml:space="preserve">15_Hybrid_RRF</t>
  </si>
  <si>
    <t xml:space="preserve">Step 11 - fusing two rankings with RRF</t>
  </si>
  <si>
    <t xml:space="preserve">16_Reranking</t>
  </si>
  <si>
    <t xml:space="preserve">Step 12 - cross-encoder reranking</t>
  </si>
  <si>
    <t xml:space="preserve">17_Query_Transform</t>
  </si>
  <si>
    <t xml:space="preserve">Step 13 - rewriting the question before searching</t>
  </si>
  <si>
    <t xml:space="preserve">18_Context_Assembly</t>
  </si>
  <si>
    <t xml:space="preserve">Step 14 - packing the prompt inside a token budget</t>
  </si>
  <si>
    <t xml:space="preserve">19_Generation</t>
  </si>
  <si>
    <t xml:space="preserve">Step 15 - grounded generation and citations</t>
  </si>
  <si>
    <t xml:space="preserve">20_Vector_Failures</t>
  </si>
  <si>
    <t xml:space="preserve">Every failure mode, cause and fix</t>
  </si>
  <si>
    <t xml:space="preserve">21_Vectorless_Idea</t>
  </si>
  <si>
    <t xml:space="preserve">3. Vectorless</t>
  </si>
  <si>
    <t xml:space="preserve">The core idea: similarity is not relevance</t>
  </si>
  <si>
    <t xml:space="preserve">22_Tree_Index</t>
  </si>
  <si>
    <t xml:space="preserve">Step 1 - build the tree index (real JSON schema)</t>
  </si>
  <si>
    <t xml:space="preserve">23_Tree_Search</t>
  </si>
  <si>
    <t xml:space="preserve">Step 2 - LLM tree search, hop by hop</t>
  </si>
  <si>
    <t xml:space="preserve">40 min</t>
  </si>
  <si>
    <t xml:space="preserve">24_Multi_Hop</t>
  </si>
  <si>
    <t xml:space="preserve">A harder query that needs two branches</t>
  </si>
  <si>
    <t xml:space="preserve">25_Head_To_Head</t>
  </si>
  <si>
    <t xml:space="preserve">4. Compare</t>
  </si>
  <si>
    <t xml:space="preserve">Same queries, both systems, side by side</t>
  </si>
  <si>
    <t xml:space="preserve">26_Evaluation</t>
  </si>
  <si>
    <t xml:space="preserve">Recall@K, MRR, nDCG, faithfulness - live</t>
  </si>
  <si>
    <t xml:space="preserve">27_Cost_Latency</t>
  </si>
  <si>
    <t xml:space="preserve">Cost and latency calculator for both</t>
  </si>
  <si>
    <t xml:space="preserve">28_Decision_Guide</t>
  </si>
  <si>
    <t xml:space="preserve">Which architecture, when</t>
  </si>
  <si>
    <t xml:space="preserve">29_Exercises</t>
  </si>
  <si>
    <t xml:space="preserve">5. Practice</t>
  </si>
  <si>
    <t xml:space="preserve">24 exercises on the live sheets</t>
  </si>
  <si>
    <t xml:space="preserve">3 hrs</t>
  </si>
  <si>
    <t xml:space="preserve">30_Answers</t>
  </si>
  <si>
    <t xml:space="preserve">Worked answers</t>
  </si>
  <si>
    <t xml:space="preserve">-</t>
  </si>
  <si>
    <t xml:space="preserve">31_Glossary</t>
  </si>
  <si>
    <t xml:space="preserve">68 terms in plain English</t>
  </si>
  <si>
    <t xml:space="preserve">32_Build_Plan</t>
  </si>
  <si>
    <t xml:space="preserve">A 10-day plan to build both for real</t>
  </si>
  <si>
    <t xml:space="preserve">ON THE DATA — The corpus is a small fictional company (Northwind Robotics) with an employee handbook and an IT security policy. It is deliberately tiny so that you can verify every retrieval by eye. If the system returns the wrong section you will KNOW it is wrong — which is exactly the feedback loop that is impossible to get when you point RAG at 10,000 real PDFs on day one.</t>
  </si>
  <si>
    <t xml:space="preserve">01  ·  WHY RAG EXISTS AT ALL</t>
  </si>
  <si>
    <t xml:space="preserve">Before any technique: what is the actual problem?</t>
  </si>
  <si>
    <t xml:space="preserve">The problem in one paragraph</t>
  </si>
  <si>
    <t xml:space="preserve">A language model is a closed-book exam candidate with an extraordinary but frozen memory. It read an enormous amount of text up to a cutoff date, compressed all of it into weights, and then the book was shut. It has never seen your company handbook. It cannot see today's news. And when it does not know something, it does not go quiet — it produces fluent, confident, plausible text anyway, because producing plausible text is precisely what it was trained to do.</t>
  </si>
  <si>
    <t xml:space="preserve">RAG (Retrieval-Augmented Generation) turns the closed-book exam into an open-book exam. Before the model answers, we go and fetch the relevant pages and staple them to the question. The model's job changes from "recall this fact" to "read this passage and answer from it" — a far easier and far more verifiable task.</t>
  </si>
  <si>
    <t xml:space="preserve">INTUITION — RAG does not make the model smarter. It makes the model better-informed. Those are different problems, and confusing them is the single most common reason RAG projects disappoint. If your model cannot reason about a topic, handing it the right document will not fix that.</t>
  </si>
  <si>
    <t xml:space="preserve">The four rivals — and why retrieval usually wins</t>
  </si>
  <si>
    <t xml:space="preserve">Approach</t>
  </si>
  <si>
    <t xml:space="preserve">How it works</t>
  </si>
  <si>
    <t xml:space="preserve">Strengths</t>
  </si>
  <si>
    <t xml:space="preserve">Why it is not enough</t>
  </si>
  <si>
    <t xml:space="preserve">Cost to change one fact</t>
  </si>
  <si>
    <t xml:space="preserve">Just ask the model</t>
  </si>
  <si>
    <t xml:space="preserve">Rely on parametric memory from pretraining.</t>
  </si>
  <si>
    <t xml:space="preserve">Zero infrastructure. Instant.</t>
  </si>
  <si>
    <t xml:space="preserve">No private data, stale, and it hallucinates confidently when it does not know. No citations possible.</t>
  </si>
  <si>
    <t xml:space="preserve">Impossible</t>
  </si>
  <si>
    <t xml:space="preserve">Paste everything</t>
  </si>
  <si>
    <t xml:space="preserve">Put the entire corpus in the prompt every time.</t>
  </si>
  <si>
    <t xml:space="preserve">Simple. No retrieval to get wrong.</t>
  </si>
  <si>
    <t xml:space="preserve">Breaks past a few hundred pages; you pay for every token every call; accuracy degrades as context grows.</t>
  </si>
  <si>
    <t xml:space="preserve">Free but you pay per query, forever</t>
  </si>
  <si>
    <t xml:space="preserve">Fine-tuning</t>
  </si>
  <si>
    <t xml:space="preserve">Continue training on your data so facts enter the weights.</t>
  </si>
  <si>
    <t xml:space="preserve">Great for teaching FORM: tone, format, a domain's style, a task pattern.</t>
  </si>
  <si>
    <t xml:space="preserve">Poor for teaching FACTS. Facts get blurred rather than stored. No citations. Cannot unlearn a fact you later fix.</t>
  </si>
  <si>
    <t xml:space="preserve">Retrain (hours to days, $$$)</t>
  </si>
  <si>
    <t xml:space="preserve">Long context</t>
  </si>
  <si>
    <t xml:space="preserve">Use a model with a 1M-token window and feed a lot.</t>
  </si>
  <si>
    <t xml:space="preserve">Very strong for one big document you are already holding.</t>
  </si>
  <si>
    <t xml:space="preserve">Cost and latency scale with what you paste; retrieval quality inside a huge context still degrades; and you still must choose WHAT to paste — which is retrieval wearing a disguise.</t>
  </si>
  <si>
    <t xml:space="preserve">Free but slow and expensive per query</t>
  </si>
  <si>
    <t xml:space="preserve">RAG (retrieval)</t>
  </si>
  <si>
    <t xml:space="preserve">Store the corpus outside the model; fetch the few relevant pieces per question.</t>
  </si>
  <si>
    <t xml:space="preserve">Fresh (update the store, not the model), cheap per query, citable, auditable, and scales to millions of docs.</t>
  </si>
  <si>
    <t xml:space="preserve">You now own a retrieval system, and retrieval can fail. Most of this course is about those failures.</t>
  </si>
  <si>
    <t xml:space="preserve">Edit one record. Seconds.</t>
  </si>
  <si>
    <t xml:space="preserve">INTUITION — These are not mutually exclusive and in production they are usually combined: fine-tune for tone and output format, retrieve for facts, and use a long context window to hold the retrieved material comfortably. The question is never "RAG or fine-tuning" — it is "which part of my problem is form, and which part is facts?"</t>
  </si>
  <si>
    <t xml:space="preserve">The librarian analogy — keep this in your head for the whole course</t>
  </si>
  <si>
    <t xml:space="preserve">Imagine a library and a question: "how much can I claim for a home office desk?"
•  NO RAG is asking someone who once read every book in the library, years ago, from memory. They will answer. They may well be wrong.
•  VECTOR RAG shreds every book into paragraph-sized slips of paper and hangs each slip in a vast room at a position determined by its meaning. Your question is placed in the same room, and the nearest few slips are handed over. Fast, works at any scale — but the nearest slip is not always the right slip, and a slip torn out of its chapter can lose the qualification that made it true.
•  VECTORLESS / PAGEINDEX RAG keeps the books intact, reads the table of contents, and thinks: "desk allowance — that is not the Expenses chapter, that is Remote Work, section 3.2" — then turns to that section and reads it whole. Slower per question, and it needs the books to have a table of contents — but its reasoning is legible and its answer arrives with its context attached.</t>
  </si>
  <si>
    <t xml:space="preserve">INTUITION — Hold on to the difference between the last two, because it is the intellectual spine of this course: vector search asks "what LOOKS like the question?"  PageIndex asks "where would an expert LOOK, and why?"  Those two questions have different answers more often than you would expect — and on sheet 12 you will watch them diverge on real numbers you computed yourself.</t>
  </si>
  <si>
    <t xml:space="preserve">The two phases — the timing distinction that confuses everyone</t>
  </si>
  <si>
    <t xml:space="preserve">Phase</t>
  </si>
  <si>
    <t xml:space="preserve">When it runs</t>
  </si>
  <si>
    <t xml:space="preserve">What happens</t>
  </si>
  <si>
    <t xml:space="preserve">Who pays for it</t>
  </si>
  <si>
    <t xml:space="preserve">INDEXING (offline)</t>
  </si>
  <si>
    <t xml:space="preserve">Once per document, ahead of time, when a document is added or changed.</t>
  </si>
  <si>
    <t xml:space="preserve">Parse → clean → chunk → embed → store in a vector index. For PageIndex: parse → detect structure → summarise each node → store a tree.</t>
  </si>
  <si>
    <t xml:space="preserve">Paid once per document. Slow is acceptable here.</t>
  </si>
  <si>
    <t xml:space="preserve">RETRIEVAL + GENERATION (online)</t>
  </si>
  <si>
    <t xml:space="preserve">Every single time a user asks a question.</t>
  </si>
  <si>
    <t xml:space="preserve">Embed the query → search → rank → (rerank) → assemble the prompt → generate the answer. For PageIndex: walk the tree with an LLM → read the chosen nodes → generate.</t>
  </si>
  <si>
    <t xml:space="preserve">Paid per query. Every millisecond and every token here is felt by the user.</t>
  </si>
  <si>
    <t xml:space="preserve">INTUITION — Almost every architectural trade-off in RAG is a decision about which of these two phases to push the work into. Better chunking and richer summaries cost you offline time to buy online accuracy. Reranking and query rewriting do the opposite — they buy accuracy with online latency. PageIndex is unusual in that it moves a large amount of reasoning INTO the online phase, which is the source of both its accuracy and its cost.</t>
  </si>
  <si>
    <t xml:space="preserve">02  ·  THE TWO PIPELINES, SIDE BY SIDE</t>
  </si>
  <si>
    <t xml:space="preserve">Print this sheet. It is the map for everything that follows.</t>
  </si>
  <si>
    <t xml:space="preserve">VECTOR-SEARCH RAG  (sheets 03-20)</t>
  </si>
  <si>
    <t xml:space="preserve">VECTORLESS / PAGEINDEX RAG  (sheets 21-24)</t>
  </si>
  <si>
    <t xml:space="preserve">#</t>
  </si>
  <si>
    <t xml:space="preserve">Stage</t>
  </si>
  <si>
    <t xml:space="preserve">What actually happens</t>
  </si>
  <si>
    <t xml:space="preserve">1</t>
  </si>
  <si>
    <t xml:space="preserve">Parse</t>
  </si>
  <si>
    <t xml:space="preserve">PDF/HTML/DOCX → plain text. Strip headers, footers, page numbers. Structure is usually lost here.</t>
  </si>
  <si>
    <t xml:space="preserve">04</t>
  </si>
  <si>
    <t xml:space="preserve">PDF → text, but structure is PRESERVED on purpose: headings, section numbers, page ranges.</t>
  </si>
  <si>
    <t xml:space="preserve">22</t>
  </si>
  <si>
    <t xml:space="preserve">2</t>
  </si>
  <si>
    <t xml:space="preserve">Chunk</t>
  </si>
  <si>
    <t xml:space="preserve">Cut the text into pieces of a few hundred tokens, usually with overlap. An irreversible, lossy decision.</t>
  </si>
  <si>
    <t xml:space="preserve">05, 06</t>
  </si>
  <si>
    <t xml:space="preserve">Build tree</t>
  </si>
  <si>
    <t xml:space="preserve">Detect the table of contents (or infer one) and emit a node tree: title, node_id, page range, child nodes.</t>
  </si>
  <si>
    <t xml:space="preserve">3</t>
  </si>
  <si>
    <t xml:space="preserve">Embed chunks</t>
  </si>
  <si>
    <t xml:space="preserve">Each chunk → one fixed-length vector of floats, via an embedding model. Runs once, offline.</t>
  </si>
  <si>
    <t xml:space="preserve">07-09</t>
  </si>
  <si>
    <t xml:space="preserve">Summarise nodes</t>
  </si>
  <si>
    <t xml:space="preserve">An LLM writes a short summary for each node. These summaries are the navigation signal later.</t>
  </si>
  <si>
    <t xml:space="preserve">4</t>
  </si>
  <si>
    <t xml:space="preserve">Index</t>
  </si>
  <si>
    <t xml:space="preserve">Store vectors in an ANN index (HNSW / IVF) so search is sub-linear rather than a full scan.</t>
  </si>
  <si>
    <t xml:space="preserve">13</t>
  </si>
  <si>
    <t xml:space="preserve">(no embedding)</t>
  </si>
  <si>
    <t xml:space="preserve">No embedding model. No vector database. No chunking. Nothing to re-embed when a model is deprecated.</t>
  </si>
  <si>
    <t xml:space="preserve">21</t>
  </si>
  <si>
    <t xml:space="preserve">5</t>
  </si>
  <si>
    <t xml:space="preserve">Embed query</t>
  </si>
  <si>
    <t xml:space="preserve">The question goes through the SAME embedding model. Must be the same model, or the geometry is meaningless.</t>
  </si>
  <si>
    <t xml:space="preserve">11</t>
  </si>
  <si>
    <t xml:space="preserve">Query arrives</t>
  </si>
  <si>
    <t xml:space="preserve">Used as natural language, verbatim. There is no query vector to compute.</t>
  </si>
  <si>
    <t xml:space="preserve">23</t>
  </si>
  <si>
    <t xml:space="preserve">6</t>
  </si>
  <si>
    <t xml:space="preserve">Search</t>
  </si>
  <si>
    <t xml:space="preserve">Find the vectors nearest the query vector by cosine similarity. Returns top-K with scores.</t>
  </si>
  <si>
    <t xml:space="preserve">12</t>
  </si>
  <si>
    <t xml:space="preserve">Tree search</t>
  </si>
  <si>
    <t xml:space="preserve">The LLM is shown the current node's children (titles + summaries) and reasons about which to open.</t>
  </si>
  <si>
    <t xml:space="preserve">7</t>
  </si>
  <si>
    <t xml:space="preserve">Keyword search</t>
  </si>
  <si>
    <t xml:space="preserve">Optionally run BM25 in parallel to catch exact terms that embeddings blur away.</t>
  </si>
  <si>
    <t xml:space="preserve">14</t>
  </si>
  <si>
    <t xml:space="preserve">Descend</t>
  </si>
  <si>
    <t xml:space="preserve">Repeat down the tree. Optionally keep several branches alive at once (beam search).</t>
  </si>
  <si>
    <t xml:space="preserve">23, 24</t>
  </si>
  <si>
    <t xml:space="preserve">8</t>
  </si>
  <si>
    <t xml:space="preserve">Fuse</t>
  </si>
  <si>
    <t xml:space="preserve">Merge the two ranked lists, usually with Reciprocal Rank Fusion.</t>
  </si>
  <si>
    <t xml:space="preserve">15</t>
  </si>
  <si>
    <t xml:space="preserve">Collect nodes</t>
  </si>
  <si>
    <t xml:space="preserve">Return whole, coherent sections — with page numbers — not fragments.</t>
  </si>
  <si>
    <t xml:space="preserve">9</t>
  </si>
  <si>
    <t xml:space="preserve">Rerank</t>
  </si>
  <si>
    <t xml:space="preserve">A slower cross-encoder rescores the top ~50 and keeps the best 3-5. Biggest accuracy win per unit effort.</t>
  </si>
  <si>
    <t xml:space="preserve">16</t>
  </si>
  <si>
    <t xml:space="preserve">(no rerank)</t>
  </si>
  <si>
    <t xml:space="preserve">Selection already WAS the reasoning step. There is no similarity score to correct after the fact.</t>
  </si>
  <si>
    <t xml:space="preserve">25</t>
  </si>
  <si>
    <t xml:space="preserve">10</t>
  </si>
  <si>
    <t xml:space="preserve">Assemble</t>
  </si>
  <si>
    <t xml:space="preserve">Pack surviving chunks into the prompt within a token budget, ordered and labelled for citation.</t>
  </si>
  <si>
    <t xml:space="preserve">18</t>
  </si>
  <si>
    <t xml:space="preserve">Node text goes into the prompt with its full path, e.g. Handbook &gt; 3. Remote Work &gt; 3.2 Allowance.</t>
  </si>
  <si>
    <t xml:space="preserve">Generate</t>
  </si>
  <si>
    <t xml:space="preserve">The LLM answers using only that context, cites its sources, and refuses when the context is insufficient.</t>
  </si>
  <si>
    <t xml:space="preserve">19</t>
  </si>
  <si>
    <t xml:space="preserve">Same as the left column. The answer now carries a traceable retrieval path, not just a score.</t>
  </si>
  <si>
    <t xml:space="preserve">INTUITION — Look at the shapes. Vector RAG front-loads work: nine of its eleven stages are engineering you do before any user asks anything, and the online path is one fast arithmetic lookup. PageIndex front-loads almost nothing and spends its effort at question time, thinking. That single difference explains every downstream trade-off between them — latency, cost, explainability, and how each one fails.</t>
  </si>
  <si>
    <t xml:space="preserve">03  ·  THE CORPUS</t>
  </si>
  <si>
    <t xml:space="preserve">Two fictional documents. 14 sections. Everything in this course is retrieved from here.</t>
  </si>
  <si>
    <t xml:space="preserve">Read all 14 sections now, properly. Two minutes. You are about to spend hours judging whether a retrieval system found the right passage, and you cannot judge that without knowing what the right passage is. Pay particular attention to section A.2.3 and section A.3.2 — they are going to fight each other later.</t>
  </si>
  <si>
    <t xml:space="preserve">Section</t>
  </si>
  <si>
    <t xml:space="preserve">Doc</t>
  </si>
  <si>
    <t xml:space="preserve">Title</t>
  </si>
  <si>
    <t xml:space="preserve">Pages</t>
  </si>
  <si>
    <t xml:space="preserve">Words</t>
  </si>
  <si>
    <t xml:space="preserve">Full text</t>
  </si>
  <si>
    <t xml:space="preserve">A.1.1</t>
  </si>
  <si>
    <t xml:space="preserve">DOC-A</t>
  </si>
  <si>
    <t xml:space="preserve">Annual Leave</t>
  </si>
  <si>
    <t xml:space="preserve">3-4</t>
  </si>
  <si>
    <t xml:space="preserve">Full-time employees receive 24 days of annual leave each calendar year, accrued monthly. Leave requests must be submitted through the HR portal at least 10 working days in advance and require manager approval. Unused leave up to 6 days may be carried into the next year. Public holidays are additional to annual leave and follow the Telangana state calendar. Leave taken during a notice period must be approved in writing by HR.</t>
  </si>
  <si>
    <t xml:space="preserve">A.1.2</t>
  </si>
  <si>
    <t xml:space="preserve">Sick Leave</t>
  </si>
  <si>
    <t xml:space="preserve">5-6</t>
  </si>
  <si>
    <t xml:space="preserve">Employees may take up to 12 days of paid sick leave per year. For any absence longer than 3 consecutive days a medical certificate from a registered doctor is required. Notify your manager before 10:00 on the first day of illness.</t>
  </si>
  <si>
    <t xml:space="preserve">A.1.3</t>
  </si>
  <si>
    <t xml:space="preserve">Parental Leave</t>
  </si>
  <si>
    <t xml:space="preserve">7-9</t>
  </si>
  <si>
    <t xml:space="preserve">Primary caregivers receive 26 weeks of paid parental leave; secondary caregivers receive 8 weeks. Requests should be submitted to HR at least 60 days before the expected date. Parental leave does not reduce annual leave accrual.</t>
  </si>
  <si>
    <t xml:space="preserve">A.2.1</t>
  </si>
  <si>
    <t xml:space="preserve">Salary Bands and Reviews</t>
  </si>
  <si>
    <t xml:space="preserve">10-12</t>
  </si>
  <si>
    <t xml:space="preserve">Salary is set within published bands for each role level. Pay reviews happen every April and are based on the performance rating agreed with your manager. Band movements require approval from HR and the department head.</t>
  </si>
  <si>
    <t xml:space="preserve">A.2.2</t>
  </si>
  <si>
    <t xml:space="preserve">Annual Bonus</t>
  </si>
  <si>
    <t xml:space="preserve">13-14</t>
  </si>
  <si>
    <t xml:space="preserve">The annual bonus pool is funded at 10 percent of salary cost and is paid each June. Individual bonus depends on company performance and your rating. Employees who join after 1 October are not eligible in that bonus year.</t>
  </si>
  <si>
    <t xml:space="preserve">A.2.3</t>
  </si>
  <si>
    <t xml:space="preserve">Expense Reimbursement</t>
  </si>
  <si>
    <t xml:space="preserve">15-17</t>
  </si>
  <si>
    <t xml:space="preserve">To claim a work expense, submit the receipt through the expense portal within 30 days of the spend. Claims over 5,000 rupees require manager approval before the cost is incurred. Reimbursement is paid with the next salary run. Travel, client meals and professional subscriptions may be claimed as expenses. Home office equipment is NOT claimed through this process; see the remote work allowance in section A.3.2. Claims submitted without a receipt are rejected.</t>
  </si>
  <si>
    <t xml:space="preserve">A.3.1</t>
  </si>
  <si>
    <t xml:space="preserve">Eligibility for Remote Work</t>
  </si>
  <si>
    <t xml:space="preserve">18-20</t>
  </si>
  <si>
    <t xml:space="preserve">Employees may work remotely up to 3 days per week after completing probation. Fully remote arrangements need approval from your manager and the department head. Your home working location must be declared to HR for insurance.</t>
  </si>
  <si>
    <t xml:space="preserve">A.3.2</t>
  </si>
  <si>
    <t xml:space="preserve">Home Office Equipment Allowance</t>
  </si>
  <si>
    <t xml:space="preserve">21-24</t>
  </si>
  <si>
    <t xml:space="preserve">Each remote employee receives a one-time home office equipment allowance of 60,000 rupees. The allowance covers a desk, an ergonomic chair, a monitor, a keyboard and a headset. It refreshes every 4 years. Order home office equipment through the internal catalogue; do not pay for it yourself. Within the allowance a desk may cost up to 25,000 rupees and a chair up to 20,000 rupees. Equipment remains company property and is returned when you leave.</t>
  </si>
  <si>
    <t xml:space="preserve">B.1.1</t>
  </si>
  <si>
    <t xml:space="preserve">DOC-B</t>
  </si>
  <si>
    <t xml:space="preserve">Laptop Encryption and Locking</t>
  </si>
  <si>
    <t xml:space="preserve">2-4</t>
  </si>
  <si>
    <t xml:space="preserve">Every company laptop must have full disk encryption enabled before first use. Screens must lock automatically after 5 minutes of inactivity. Do not store customer data on the local device; use the approved cloud drive.</t>
  </si>
  <si>
    <t xml:space="preserve">B.1.2</t>
  </si>
  <si>
    <t xml:space="preserve">Approved Software</t>
  </si>
  <si>
    <t xml:space="preserve">Only software from the approved catalogue may be installed on a company device. Requests for new software go to the IT team and need a security review. Personal software and browser extensions are not permitted.</t>
  </si>
  <si>
    <t xml:space="preserve">B.2.1</t>
  </si>
  <si>
    <t xml:space="preserve">Passwords and MFA</t>
  </si>
  <si>
    <t xml:space="preserve">7-8</t>
  </si>
  <si>
    <t xml:space="preserve">Passwords must be at least 14 characters and are never shared. Multi-factor authentication is mandatory for email, the HR portal and the code repository. Report any suspected password compromise immediately.</t>
  </si>
  <si>
    <t xml:space="preserve">B.2.2</t>
  </si>
  <si>
    <t xml:space="preserve">Shared Accounts</t>
  </si>
  <si>
    <t xml:space="preserve">9-10</t>
  </si>
  <si>
    <t xml:space="preserve">Shared accounts are not permitted except for approved service accounts owned by the IT team. Each service account has a named owner and is reviewed every 90 days.</t>
  </si>
  <si>
    <t xml:space="preserve">B.3.1</t>
  </si>
  <si>
    <t xml:space="preserve">Reporting a Lost or Stolen Device</t>
  </si>
  <si>
    <t xml:space="preserve">11-12</t>
  </si>
  <si>
    <t xml:space="preserve">If a laptop or phone is lost or stolen, call the IT service desk within 1 hour and file an incident report in the security portal. IT will remotely wipe the device. After a stolen device is reported you must reset your password and re-enrol multi-factor authentication on the replacement. The security team will review whether customer data was exposed. A replacement laptop is issued within 2 working days.</t>
  </si>
  <si>
    <t xml:space="preserve">B.3.2</t>
  </si>
  <si>
    <t xml:space="preserve">Reporting a Phishing Attempt</t>
  </si>
  <si>
    <t xml:space="preserve">Forward any suspicious email to the security team and then delete it. Do not click links or open attachments. If you already clicked, report the incident to the security team immediately.</t>
  </si>
  <si>
    <t xml:space="preserve">INTUITION — A.2.3 (Expense Reimbursement) is dense with the words claim, expense, receipt, reimburse and rupees. A.3.2 (Home Office Equipment Allowance) is where the answer to a desk question actually lives. A human reading the handbook would never confuse them, because A.2.3 says in plain English that home office equipment is NOT claimed this way. A vector search engine has no idea what the word NOT does to a sentence. Remember that.</t>
  </si>
  <si>
    <t xml:space="preserve">AND ANOTHER TRAP — Also notice B.3.1 contains the phrase "IT service desk". The word desk is about to cause trouble in a query about a home office desk. Keyword search will find it; embeddings will half-find it. Real corpora are full of these collisions and they are the reason retrieval is hard.</t>
  </si>
  <si>
    <t xml:space="preserve">04  ·  STEP 1  —  PARSING AND CLEANING</t>
  </si>
  <si>
    <t xml:space="preserve">The unglamorous step that silently caps the quality of everything after it</t>
  </si>
  <si>
    <t xml:space="preserve">Your documents are PDFs, Word files, HTML pages, scanned images, Confluence exports. The retrieval system needs text. Parsing is the conversion, and it is lossier than anyone expects. A PDF does not store paragraphs — it stores glyphs at coordinates. "This is a heading" is a visual fact (bigger, bolder, more whitespace above), not a stored one, so a naive parser flattens a beautifully structured 200-page report into an undifferentiated wall of text.</t>
  </si>
  <si>
    <t xml:space="preserve">INTUITION — Garbage in, garbage retrieved. No embedding model, no reranker and no clever prompt recovers information that the parser destroyed. When a RAG system is mysteriously bad, look here first — before you touch chunk size, before you swap embedding models. Print fifty random parsed chunks and read them. The bug is usually visible to the naked eye.</t>
  </si>
  <si>
    <t xml:space="preserve">What cleaning has to remove, and what it must not</t>
  </si>
  <si>
    <t xml:space="preserve">Problem</t>
  </si>
  <si>
    <t xml:space="preserve">Why it hurts retrieval</t>
  </si>
  <si>
    <t xml:space="preserve">Fix</t>
  </si>
  <si>
    <t xml:space="preserve">Repeated headers/footers</t>
  </si>
  <si>
    <t xml:space="preserve">"Northwind Robotics Confidential — Page 12 of 24" on every page becomes the most common phrase in your corpus, so every chunk looks a bit like every other chunk.</t>
  </si>
  <si>
    <t xml:space="preserve">Detect lines repeating across most pages; strip them.</t>
  </si>
  <si>
    <t xml:space="preserve">Hyphenation at line breaks</t>
  </si>
  <si>
    <t xml:space="preserve">"reimburse-\nment" tokenises as two junk tokens and never matches a query for reimbursement.</t>
  </si>
  <si>
    <t xml:space="preserve">De-hyphenate across line breaks before tokenising.</t>
  </si>
  <si>
    <t xml:space="preserve">Multi-column layout</t>
  </si>
  <si>
    <t xml:space="preserve">A two-column page read left-to-right interleaves two unrelated sentences, producing text that is grammatical nonsense but embeds happily to a confident, meaningless vector.</t>
  </si>
  <si>
    <t xml:space="preserve">Layout-aware parser (column detection) or a vision model.</t>
  </si>
  <si>
    <t xml:space="preserve">Tables flattened</t>
  </si>
  <si>
    <t xml:space="preserve">A table becomes "Desk 25000 Chair 20000 Monitor 15000" — the row/column relationship that carried the meaning is gone.</t>
  </si>
  <si>
    <t xml:space="preserve">Extract tables separately; serialise to Markdown or one row per record with headers repeated.</t>
  </si>
  <si>
    <t xml:space="preserve">Scanned pages</t>
  </si>
  <si>
    <t xml:space="preserve">No text layer at all. The parser returns empty strings and the section silently vanishes from your index. Nobody notices until a user asks about it.</t>
  </si>
  <si>
    <t xml:space="preserve">OCR. Then assert a minimum character count per page and alert on failures.</t>
  </si>
  <si>
    <t xml:space="preserve">Structure discarded</t>
  </si>
  <si>
    <t xml:space="preserve">Headings become ordinary sentences. You lose the ability to say "this paragraph is inside section 3.2 Home Office Allowance".</t>
  </si>
  <si>
    <t xml:space="preserve">Keep heading levels as metadata. Vector RAG uses this for filters; PageIndex is BUILT on it.</t>
  </si>
  <si>
    <t xml:space="preserve">Boilerplate legal blocks</t>
  </si>
  <si>
    <t xml:space="preserve">Identical disclaimers across hundreds of documents create dense clusters of near-duplicate vectors that crowd out real answers.</t>
  </si>
  <si>
    <t xml:space="preserve">Deduplicate near-identical chunks at index time.</t>
  </si>
  <si>
    <t xml:space="preserve">Before and after, on one page of our handbook</t>
  </si>
  <si>
    <t xml:space="preserve">Text</t>
  </si>
  <si>
    <t xml:space="preserve">RAW from parser</t>
  </si>
  <si>
    <t xml:space="preserve">NORTHWIND ROBOTICS · CONFIDENTIAL · PAGE 21 OF 24\n\n3.2  Home Office Equip-\nment Allowance\n\nEach remote employee receives a one-time home office equipment allow-\nance of 60,000 rupees.\n\nItem            Limit\nDesk            25,000\nChair           20,000\n\nNORTHWIND ROBOTICS · CONFIDENTIAL · PAGE 21 OF 24</t>
  </si>
  <si>
    <t xml:space="preserve">CLEANED + STRUCTURED</t>
  </si>
  <si>
    <t xml:space="preserve">[doc: Employee Handbook 2026] [section: 3.2 Home Office Equipment Allowance] [pages: 21-24]\nEach remote employee receives a one-time home office equipment allowance of 60,000 rupees.\nPer-item limits: Desk — 25,000 rupees. Chair — 20,000 rupees.</t>
  </si>
  <si>
    <t xml:space="preserve">INTUITION — Three things happened and all three matter. The repeated footer is gone, so it stops polluting similarity. The hyphenation is repaired, so "allowance" is now a word your index can match. And the table was rewritten as prose that keeps item and limit attached to each other — because "Desk 25,000" as bare text will happily retrieve for a query about desks and then tell the model a number with no unit and no meaning.</t>
  </si>
  <si>
    <t xml:space="preserve">PRACTICAL TIP — The square-bracket metadata prefix is worth stealing. Prepending the document and section title to every chunk before embedding is one of the cheapest accuracy improvements available: it gives an otherwise context-free fragment a home. A chunk saying "It refreshes every 4 years" is useless alone and perfectly clear once it carries its section heading.</t>
  </si>
  <si>
    <t xml:space="preserve">05  ·  STEP 2  —  CHUNKING</t>
  </si>
  <si>
    <t xml:space="preserve">The most consequential decision in vector RAG, usually made in thirty seconds by copying a tutorial</t>
  </si>
  <si>
    <t xml:space="preserve">Why chunk at all? Three separate reasons</t>
  </si>
  <si>
    <t xml:space="preserve">Reason</t>
  </si>
  <si>
    <t xml:space="preserve">Explanation</t>
  </si>
  <si>
    <t xml:space="preserve">Embedding models have a hard input limit</t>
  </si>
  <si>
    <t xml:space="preserve">Most take 512 to 8,192 tokens. A 60-page policy simply will not fit through the door.</t>
  </si>
  <si>
    <t xml:space="preserve">One vector cannot represent many ideas</t>
  </si>
  <si>
    <t xml:space="preserve">An embedding is an average of meaning. Embed a whole chapter about leave AND pay AND security and you get a vector sitting in the bland middle of that space — close to everything, decisively close to nothing. Smaller pieces make sharper points.</t>
  </si>
  <si>
    <t xml:space="preserve">The context window is a budget</t>
  </si>
  <si>
    <t xml:space="preserve">You will paste retrieved text into a prompt you pay for. Retrieving a whole chapter to answer one question wastes tokens, adds latency, and buries the relevant sentence among 3,000 irrelevant ones.</t>
  </si>
  <si>
    <t xml:space="preserve">INTUITION — Notice that every one of those three reasons is a limitation of the MACHINERY, not a property of your documents. Nobody chunks because chunking helps a reader understand. We chunk because embedding models have input limits and one vector cannot hold two ideas. Hold on to that — it is the exact crack that vectorless RAG drives a wedge into on sheet 21.</t>
  </si>
  <si>
    <t xml:space="preserve">The trade-off, stated precisely</t>
  </si>
  <si>
    <t xml:space="preserve">Chunk size</t>
  </si>
  <si>
    <t xml:space="preserve">What gets better</t>
  </si>
  <si>
    <t xml:space="preserve">What gets worse</t>
  </si>
  <si>
    <t xml:space="preserve">Typical use</t>
  </si>
  <si>
    <t xml:space="preserve">Small  (~100 tokens)</t>
  </si>
  <si>
    <t xml:space="preserve">Precision. The retrieved text is almost entirely about one thing, so the signal-to-noise ratio inside the prompt is high.</t>
  </si>
  <si>
    <t xml:space="preserve">Context is lost. "It refreshes every 4 years" — what does? Pronouns and qualifiers point outside the chunk. Multi-sentence answers get split across chunks and you need several to arrive together.</t>
  </si>
  <si>
    <t xml:space="preserve">FAQs, product catalogues, short structured records</t>
  </si>
  <si>
    <t xml:space="preserve">Medium  (300-600 tokens)</t>
  </si>
  <si>
    <t xml:space="preserve">The usual compromise. Roughly a paragraph or two: enough to be self-contained, small enough to stay on one topic.</t>
  </si>
  <si>
    <t xml:space="preserve">Still splits longer arguments; still arbitrary with respect to meaning.</t>
  </si>
  <si>
    <t xml:space="preserve">The sane default. Start here.</t>
  </si>
  <si>
    <t xml:space="preserve">Large  (1000+ tokens)</t>
  </si>
  <si>
    <t xml:space="preserve">Context is preserved. The chunk usually contains everything needed to answer.</t>
  </si>
  <si>
    <t xml:space="preserve">Precision collapses. The vector averages several topics, so it ranks moderately for many queries and brilliantly for none. You burn context on irrelevant text.</t>
  </si>
  <si>
    <t xml:space="preserve">Narrative documents, transcripts, papers</t>
  </si>
  <si>
    <t xml:space="preserve">Overlap — the cheap insurance, demonstrated</t>
  </si>
  <si>
    <t xml:space="preserve">Cut text at a fixed length and eventually you cut through the middle of the sentence that held the answer. Overlap means each chunk repeats the last N tokens of the previous one, so any given sentence survives whole in at least one chunk. Cost: 10-20% more storage and a little duplicate text in results. Almost always worth it.</t>
  </si>
  <si>
    <t xml:space="preserve">Setting</t>
  </si>
  <si>
    <t xml:space="preserve">Chunk A ends...</t>
  </si>
  <si>
    <t xml:space="preserve">Chunk B starts...</t>
  </si>
  <si>
    <t xml:space="preserve">Can either chunk answer "what is the desk limit?"</t>
  </si>
  <si>
    <t xml:space="preserve">No overlap</t>
  </si>
  <si>
    <t xml:space="preserve">...Within the allowance a desk may cost up to</t>
  </si>
  <si>
    <t xml:space="preserve">25,000 rupees and a chair up to 20,000 rupees...</t>
  </si>
  <si>
    <t xml:space="preserve">NO. Chunk A has the subject with no number. Chunk B has a number with no subject. Retrieve either alone and the model must guess.</t>
  </si>
  <si>
    <t xml:space="preserve">50-token overlap</t>
  </si>
  <si>
    <t xml:space="preserve">...Within the allowance a desk may cost up to 25,000 rupees and a chair up to 20,000...</t>
  </si>
  <si>
    <t xml:space="preserve">...a desk may cost up to 25,000 rupees and a chair up to 20,000 rupees. Equipment remains...</t>
  </si>
  <si>
    <t xml:space="preserve">YES. The complete fact survives intact in both chunks.</t>
  </si>
  <si>
    <t xml:space="preserve">The six chunking strategies, worst to best</t>
  </si>
  <si>
    <t xml:space="preserve">Strategy</t>
  </si>
  <si>
    <t xml:space="preserve">Rule</t>
  </si>
  <si>
    <t xml:space="preserve">Verdict</t>
  </si>
  <si>
    <t xml:space="preserve">1. Fixed characters</t>
  </si>
  <si>
    <t xml:space="preserve">Every 1,000 characters. No exceptions.</t>
  </si>
  <si>
    <t xml:space="preserve">Never use in production. Cuts mid-word. It is in every tutorial because it is one line of code.</t>
  </si>
  <si>
    <t xml:space="preserve">2. Fixed tokens + overlap</t>
  </si>
  <si>
    <t xml:space="preserve">Every 400 tokens, 50 overlapping.</t>
  </si>
  <si>
    <t xml:space="preserve">Acceptable baseline. Predictable sizes, respects the model's real limit. Still blind to meaning.</t>
  </si>
  <si>
    <t xml:space="preserve">3. Sentence-aware</t>
  </si>
  <si>
    <t xml:space="preserve">Group whole sentences up to a size budget.</t>
  </si>
  <si>
    <t xml:space="preserve">Better. Never cuts mid-sentence. Cheap to implement. A clear win over 2 for almost no effort.</t>
  </si>
  <si>
    <t xml:space="preserve">4. Recursive</t>
  </si>
  <si>
    <t xml:space="preserve">Try splitting on \n\n; if a piece is still too big, split on \n; then on '. '; then on ' '.</t>
  </si>
  <si>
    <t xml:space="preserve">The pragmatic default (this is what LangChain's RecursiveCharacterTextSplitter does). Respects natural boundaries when they exist and degrades gracefully when they do not.</t>
  </si>
  <si>
    <t xml:space="preserve">5. Semantic</t>
  </si>
  <si>
    <t xml:space="preserve">Embed each sentence; start a new chunk where consecutive-sentence similarity drops sharply.</t>
  </si>
  <si>
    <t xml:space="preserve">Topically clean chunks; costs an embedding pass over every sentence at index time. Worth it for heterogeneous documents.</t>
  </si>
  <si>
    <t xml:space="preserve">6. Structure-aware</t>
  </si>
  <si>
    <t xml:space="preserve">Split on the document's own headings. One chunk per subsection, with the heading path prepended.</t>
  </si>
  <si>
    <t xml:space="preserve">Best when structure exists — and it is exactly the information PageIndex refuses to throw away. If you find yourself reaching for this, read sheet 21 carefully.</t>
  </si>
  <si>
    <t xml:space="preserve">Parent-child (small-to-big) — the technique that dissolves the trade-off</t>
  </si>
  <si>
    <t xml:space="preserve">You do not actually have to choose between precise search and complete context. Index SMALL chunks so that search is sharp, but store a pointer from each small chunk to the LARGE parent section it came from. Search the small ones; return the parent. You get the precision of a 100-token chunk and the completeness of a 1,000-token section.</t>
  </si>
  <si>
    <t xml:space="preserve">INTUITION — Sit with that idea, because it is the bridge to the second half of this course. "Search something small and precise, then return something large and coherent" is the same instinct PageIndex follows — PageIndex just takes it further, and searches over node SUMMARIES while returning whole SECTIONS. Parent-child retrieval is vector RAG reaching toward document structure. PageIndex starts there.</t>
  </si>
  <si>
    <t xml:space="preserve">06  ·  THE CHUNK LIBRARY</t>
  </si>
  <si>
    <t xml:space="preserve">18 chunks. This is now the ONLY thing the vector system can see. The documents are gone.</t>
  </si>
  <si>
    <t xml:space="preserve">The 14 sections from sheet 03 have been split into 18 chunks using strategy 3 (sentence-aware, roughly 40 words). Longer sections became two chunks. From this point until sheet 21, the vector pipeline knows nothing about documents, headings or page numbers — only this flat list. Every formula in sheets 07 to 20 reads column G below.</t>
  </si>
  <si>
    <t xml:space="preserve">Chars</t>
  </si>
  <si>
    <t xml:space="preserve">Chunk text (this is what gets embedded)</t>
  </si>
  <si>
    <t xml:space="preserve">C01</t>
  </si>
  <si>
    <t xml:space="preserve">1 of 2</t>
  </si>
  <si>
    <t xml:space="preserve">Full-time employees receive 24 days of annual leave each calendar year, accrued monthly. Leave requests must be submitted through the HR portal at least 10 working days in advance and require manager approval.</t>
  </si>
  <si>
    <t xml:space="preserve">C02</t>
  </si>
  <si>
    <t xml:space="preserve">2 of 2</t>
  </si>
  <si>
    <t xml:space="preserve">Unused leave up to 6 days may be carried into the next year. Public holidays are additional to annual leave and follow the Telangana state calendar. Leave taken during a notice period must be approved in writing by HR.</t>
  </si>
  <si>
    <t xml:space="preserve">C03</t>
  </si>
  <si>
    <t xml:space="preserve">1 of 1</t>
  </si>
  <si>
    <t xml:space="preserve">C04</t>
  </si>
  <si>
    <t xml:space="preserve">C05</t>
  </si>
  <si>
    <t xml:space="preserve">C06</t>
  </si>
  <si>
    <t xml:space="preserve">C07</t>
  </si>
  <si>
    <t xml:space="preserve">To claim a work expense, submit the receipt through the expense portal within 30 days of the spend. Claims over 5,000 rupees require manager approval before the cost is incurred. Reimbursement is paid with the next salary run.</t>
  </si>
  <si>
    <t xml:space="preserve">C08</t>
  </si>
  <si>
    <t xml:space="preserve">Travel, client meals and professional subscriptions may be claimed as expenses. Home office equipment is NOT claimed through this process; see the remote work allowance in section A.3.2. Claims submitted without a receipt are rejected.</t>
  </si>
  <si>
    <t xml:space="preserve">C09</t>
  </si>
  <si>
    <t xml:space="preserve">C10</t>
  </si>
  <si>
    <t xml:space="preserve">Each remote employee receives a one-time home office equipment allowance of 60,000 rupees. The allowance covers a desk, an ergonomic chair, a monitor, a keyboard and a headset. It refreshes every 4 years.</t>
  </si>
  <si>
    <t xml:space="preserve">C11</t>
  </si>
  <si>
    <t xml:space="preserve">Order home office equipment through the internal catalogue; do not pay for it yourself. Within the allowance a desk may cost up to 25,000 rupees and a chair up to 20,000 rupees. Equipment remains company property and is returned when you leave.</t>
  </si>
  <si>
    <t xml:space="preserve">C12</t>
  </si>
  <si>
    <t xml:space="preserve">C13</t>
  </si>
  <si>
    <t xml:space="preserve">C14</t>
  </si>
  <si>
    <t xml:space="preserve">C15</t>
  </si>
  <si>
    <t xml:space="preserve">C16</t>
  </si>
  <si>
    <t xml:space="preserve">If a laptop or phone is lost or stolen, call the IT service desk within 1 hour and file an incident report in the security portal. IT will remotely wipe the device.</t>
  </si>
  <si>
    <t xml:space="preserve">C17</t>
  </si>
  <si>
    <t xml:space="preserve">After a stolen device is reported you must reset your password and re-enrol multi-factor authentication on the replacement. The security team will review whether customer data was exposed. A replacement laptop is issued within 2 working days.</t>
  </si>
  <si>
    <t xml:space="preserve">C18</t>
  </si>
  <si>
    <t xml:space="preserve">INTUITION — Green: the two chunks that together answer our main question. Cream: the decoy that will outrank one of them. Look closely at what chunking just did — section A.3.2 was ONE coherent four-page policy, and it is now C10 and C11. C10 holds the headline number (60,000 and a list of covered items including a desk). C11 holds the per-item limit (a desk may cost up to 25,000). A user asking "how much for a desk" needs C11. C10 is the one that LOOKS more like the question. You will watch this play out in numbers on sheet 12.</t>
  </si>
  <si>
    <t xml:space="preserve">LOOK AT THE FORMULAS — The word-count and char-count columns are live formulas, not typed values. Click F8 and read the formula bar: counting words in Excel is done by counting the spaces and adding one. You will meet the same trick on the next sheet, doing something much more interesting.</t>
  </si>
  <si>
    <t xml:space="preserve">07  ·  STEP 3  —  TEXT BECOMES NUMBERS</t>
  </si>
  <si>
    <t xml:space="preserve">The term-document matrix. Every number below is computed live from the text on sheet 06.</t>
  </si>
  <si>
    <t xml:space="preserve">Query (live from control panel):</t>
  </si>
  <si>
    <t xml:space="preserve">Pre-processed chunk text →</t>
  </si>
  <si>
    <t xml:space="preserve">lowercased, space-padded</t>
  </si>
  <si>
    <t xml:space="preserve">Term stem</t>
  </si>
  <si>
    <t xml:space="preserve">Axis</t>
  </si>
  <si>
    <t xml:space="preserve">QUERY</t>
  </si>
  <si>
    <t xml:space="preserve">leave</t>
  </si>
  <si>
    <t xml:space="preserve">LEAVE</t>
  </si>
  <si>
    <t xml:space="preserve">holiday</t>
  </si>
  <si>
    <t xml:space="preserve">absence</t>
  </si>
  <si>
    <t xml:space="preserve">parental</t>
  </si>
  <si>
    <t xml:space="preserve">caregiver</t>
  </si>
  <si>
    <t xml:space="preserve">accru</t>
  </si>
  <si>
    <t xml:space="preserve">claim</t>
  </si>
  <si>
    <t xml:space="preserve">MONEY</t>
  </si>
  <si>
    <t xml:space="preserve">reimburs</t>
  </si>
  <si>
    <t xml:space="preserve">expense</t>
  </si>
  <si>
    <t xml:space="preserve">receipt</t>
  </si>
  <si>
    <t xml:space="preserve">salary</t>
  </si>
  <si>
    <t xml:space="preserve">bonus</t>
  </si>
  <si>
    <t xml:space="preserve">allowance</t>
  </si>
  <si>
    <t xml:space="preserve">rupee</t>
  </si>
  <si>
    <t xml:space="preserve">cost</t>
  </si>
  <si>
    <t xml:space="preserve">paid</t>
  </si>
  <si>
    <t xml:space="preserve">pay</t>
  </si>
  <si>
    <t xml:space="preserve">remote</t>
  </si>
  <si>
    <t xml:space="preserve">PLACE</t>
  </si>
  <si>
    <t xml:space="preserve">home</t>
  </si>
  <si>
    <t xml:space="preserve">office</t>
  </si>
  <si>
    <t xml:space="preserve">location</t>
  </si>
  <si>
    <t xml:space="preserve">hybrid</t>
  </si>
  <si>
    <t xml:space="preserve">desk</t>
  </si>
  <si>
    <t xml:space="preserve">EQUIP</t>
  </si>
  <si>
    <t xml:space="preserve">chair</t>
  </si>
  <si>
    <t xml:space="preserve">monitor</t>
  </si>
  <si>
    <t xml:space="preserve">keyboard</t>
  </si>
  <si>
    <t xml:space="preserve">headset</t>
  </si>
  <si>
    <t xml:space="preserve">laptop</t>
  </si>
  <si>
    <t xml:space="preserve">equipment</t>
  </si>
  <si>
    <t xml:space="preserve">device</t>
  </si>
  <si>
    <t xml:space="preserve">phone</t>
  </si>
  <si>
    <t xml:space="preserve">catalogue</t>
  </si>
  <si>
    <t xml:space="preserve">security</t>
  </si>
  <si>
    <t xml:space="preserve">SECURITY</t>
  </si>
  <si>
    <t xml:space="preserve">password</t>
  </si>
  <si>
    <t xml:space="preserve">encrypt</t>
  </si>
  <si>
    <t xml:space="preserve">phishing</t>
  </si>
  <si>
    <t xml:space="preserve">stolen</t>
  </si>
  <si>
    <t xml:space="preserve">lost</t>
  </si>
  <si>
    <t xml:space="preserve">incident</t>
  </si>
  <si>
    <t xml:space="preserve">authentication</t>
  </si>
  <si>
    <t xml:space="preserve">wipe</t>
  </si>
  <si>
    <t xml:space="preserve">suspicious</t>
  </si>
  <si>
    <t xml:space="preserve">approv</t>
  </si>
  <si>
    <t xml:space="preserve">PROCESS</t>
  </si>
  <si>
    <t xml:space="preserve">submit</t>
  </si>
  <si>
    <t xml:space="preserve">request</t>
  </si>
  <si>
    <t xml:space="preserve">portal</t>
  </si>
  <si>
    <t xml:space="preserve">polic</t>
  </si>
  <si>
    <t xml:space="preserve">report</t>
  </si>
  <si>
    <t xml:space="preserve">review</t>
  </si>
  <si>
    <t xml:space="preserve">employee</t>
  </si>
  <si>
    <t xml:space="preserve">PEOPLE</t>
  </si>
  <si>
    <t xml:space="preserve">manager</t>
  </si>
  <si>
    <t xml:space="preserve"> hr</t>
  </si>
  <si>
    <t xml:space="preserve">team</t>
  </si>
  <si>
    <t xml:space="preserve">medical</t>
  </si>
  <si>
    <t xml:space="preserve">HEALTH</t>
  </si>
  <si>
    <t xml:space="preserve">doctor</t>
  </si>
  <si>
    <t xml:space="preserve">sick</t>
  </si>
  <si>
    <t xml:space="preserve">illness</t>
  </si>
  <si>
    <t xml:space="preserve">Total term hits</t>
  </si>
  <si>
    <t xml:space="preserve">What you are looking at</t>
  </si>
  <si>
    <t xml:space="preserve">This is a term-document matrix, one of the oldest objects in information retrieval, and you just built one live. Rows are vocabulary. Columns are documents. Each cell counts how many times that term appears in that chunk. The QUERY column is identical in construction — the question is treated as just another very short document, which is the key move that makes search possible at all.</t>
  </si>
  <si>
    <t xml:space="preserve">Click any cell in the grid and read the formula bar. There is no magic function here. To count how many times "desk" appears in a chunk, Excel measures the text, deletes every occurrence of "desk", measures it again, and divides the difference by 4 (the length of "desk"). That is the whole trick:  (LEN(text) - LEN(text with term removed)) / LEN(term).</t>
  </si>
  <si>
    <t xml:space="preserve">INTUITION — Row 6 does the preprocessing you would normally never see: it lowercases each chunk and pads it with spaces. Lowercasing means "Desk" and "desk" count as the same term — a real tokeniser does this and much more. The padding lets the stem " hr" match the word HR without also matching "hrs" inside another word.</t>
  </si>
  <si>
    <t xml:space="preserve">STEMMING, CRUDELY — The stems in column B are deliberately crude: "approv" catches approve, approves, approved and approval; "reimburs" catches reimburse and reimbursement. That is stemming, and it is the cheapest form of the problem every retrieval system has to solve — that the same idea wears different word-endings. It is also why "polic" matches both policy and police, which is exactly the kind of error real stemmers make.</t>
  </si>
  <si>
    <t xml:space="preserve">HONEST SCOPE NOTE — A real system does not use 57 hand-picked terms and 8 hand-labelled axes — it uses a vocabulary of ~50,000 subword tokens and 384 to 3,072 LEARNED dimensions that nobody assigned names to. We are hand-building a miniature of the real thing so that you can see every number. The mechanism is genuinely the same; only the scale and the origin of the dimensions differ.</t>
  </si>
  <si>
    <t xml:space="preserve">08  ·  STEP 4  —  WHAT AN EMBEDDING ACTUALLY IS</t>
  </si>
  <si>
    <t xml:space="preserve">The single idea that makes vector search possible</t>
  </si>
  <si>
    <t xml:space="preserve">Meaning as a location</t>
  </si>
  <si>
    <t xml:space="preserve">An embedding is a list of numbers that stands for a piece of text's meaning. That sentence sounds mystical until you notice you already think this way about other things. A colour is three numbers (red, green, blue). A city is two numbers (latitude, longitude). Nobody finds it strange that Hyderabad and Secunderabad have similar coordinates because they are close together. An embedding does the same thing for meaning: it gives every piece of text an address, arranged so that texts meaning similar things get nearby addresses.</t>
  </si>
  <si>
    <t xml:space="preserve">That is the whole trick, and everything else in vector search is bookkeeping. If meaning has coordinates, then "find text that means something similar to my question" becomes "find points near this point" — and finding nearby points is a solved problem that computers are extremely fast at.</t>
  </si>
  <si>
    <t xml:space="preserve">INTUITION — The word EMBEDDING is doing real work in that name. We are embedding a discrete, awkward thing (language, where you cannot subtract one word from another) inside a continuous space (geometry, where you can). Once meaning lives in a space with distances and directions, all of linear algebra becomes available for reasoning about text. That move is the reason the last decade of search looks the way it does.</t>
  </si>
  <si>
    <t xml:space="preserve">Our toy space: 8 dimensions you can actually see</t>
  </si>
  <si>
    <t xml:space="preserve">Real embedding models produce 384 to 3,072 dimensions, learned from data, and no human assigned them meanings — dimension 1,847 is not "about money", it is a direction that happened to be useful. That is unvisualisable, so for this course we hand-build an 8-dimensional space with labelled axes. The mechanism is identical; only the origin and the number of dimensions differ.</t>
  </si>
  <si>
    <t xml:space="preserve">Name</t>
  </si>
  <si>
    <t xml:space="preserve">Example terms that push a chunk along this axis</t>
  </si>
  <si>
    <t xml:space="preserve">D1</t>
  </si>
  <si>
    <t xml:space="preserve">Time away from work</t>
  </si>
  <si>
    <t xml:space="preserve">leave, holiday, absence, parental, accru(al)</t>
  </si>
  <si>
    <t xml:space="preserve">D2</t>
  </si>
  <si>
    <t xml:space="preserve">Pay, claims, allowances</t>
  </si>
  <si>
    <t xml:space="preserve">claim, reimburs(e), expense, receipt, salary, bonus, allowance, rupee, cost, pay</t>
  </si>
  <si>
    <t xml:space="preserve">D3</t>
  </si>
  <si>
    <t xml:space="preserve">Where you work from</t>
  </si>
  <si>
    <t xml:space="preserve">remote, home, office, location, hybrid</t>
  </si>
  <si>
    <t xml:space="preserve">D4</t>
  </si>
  <si>
    <t xml:space="preserve">Physical things / hardware</t>
  </si>
  <si>
    <t xml:space="preserve">desk, chair, monitor, keyboard, headset, laptop, equipment, device, phone, catalogue</t>
  </si>
  <si>
    <t xml:space="preserve">D5</t>
  </si>
  <si>
    <t xml:space="preserve">Threats, incidents, protection</t>
  </si>
  <si>
    <t xml:space="preserve">security, password, encrypt, phishing, stolen, lost, incident, authentication, wipe</t>
  </si>
  <si>
    <t xml:space="preserve">D6</t>
  </si>
  <si>
    <t xml:space="preserve">Approvals, submissions, rules</t>
  </si>
  <si>
    <t xml:space="preserve">approv(e), submit, request, portal, polic(y), report, review</t>
  </si>
  <si>
    <t xml:space="preserve">D7</t>
  </si>
  <si>
    <t xml:space="preserve">Roles and org units</t>
  </si>
  <si>
    <t xml:space="preserve">employee, manager, HR, team</t>
  </si>
  <si>
    <t xml:space="preserve">D8</t>
  </si>
  <si>
    <t xml:space="preserve">Illness and medical</t>
  </si>
  <si>
    <t xml:space="preserve">medical, doctor, sick, illness</t>
  </si>
  <si>
    <t xml:space="preserve">INTUITION — A chunk's vector is just: how much does this text lean along each of the 8 axes? The Home Office Allowance chunk leans hard on PLACE, EQUIP and MONEY, and not at all on HEALTH. That triple is its address. A question that leans the same way lands nearby. Sheet 09 computes all 19 addresses (18 chunks plus your query) with live formulas.</t>
  </si>
  <si>
    <t xml:space="preserve">How real embeddings differ — read this before you build anything</t>
  </si>
  <si>
    <t xml:space="preserve">Property</t>
  </si>
  <si>
    <t xml:space="preserve">Our toy version</t>
  </si>
  <si>
    <t xml:space="preserve">A real embedding model</t>
  </si>
  <si>
    <t xml:space="preserve">Why the difference matters</t>
  </si>
  <si>
    <t xml:space="preserve">Where dimensions come from</t>
  </si>
  <si>
    <t xml:space="preserve">8 axes chosen by hand on this sheet.</t>
  </si>
  <si>
    <t xml:space="preserve">384-3,072 dimensions learned by training on billions of text pairs.</t>
  </si>
  <si>
    <t xml:space="preserve">Learned dimensions capture relationships nobody could enumerate. That is the source of the real power.</t>
  </si>
  <si>
    <t xml:space="preserve">Synonyms</t>
  </si>
  <si>
    <t xml:space="preserve">Fails. "Workstation" hits no term, so it scores zero on EQUIP.</t>
  </si>
  <si>
    <t xml:space="preserve">Handled. "Workstation", "desk" and "work surface" land near each other with no dictionary.</t>
  </si>
  <si>
    <t xml:space="preserve">This is the ENTIRE advantage of embeddings over keyword search. Do not lose sight of it.</t>
  </si>
  <si>
    <t xml:space="preserve">Word order</t>
  </si>
  <si>
    <t xml:space="preserve">Ignored completely. "Dog bites man" = "man bites dog".</t>
  </si>
  <si>
    <t xml:space="preserve">Largely captured, because a transformer reads the sequence.</t>
  </si>
  <si>
    <t xml:space="preserve">Our toy will make mistakes on negation and order that a real model would not.</t>
  </si>
  <si>
    <t xml:space="preserve">Negation</t>
  </si>
  <si>
    <t xml:space="preserve">Fails badly. "NOT claimed through this process" scores as if it said "claimed".</t>
  </si>
  <si>
    <t xml:space="preserve">Better, but still the known weak spot of dense retrieval.</t>
  </si>
  <si>
    <t xml:space="preserve">This is the trap that fires on sheet 12. Real systems fall for a milder version of exactly this.</t>
  </si>
  <si>
    <t xml:space="preserve">Numbers and IDs</t>
  </si>
  <si>
    <t xml:space="preserve">Not represented at all.</t>
  </si>
  <si>
    <t xml:space="preserve">Represented poorly. Embeddings blur exact strings.</t>
  </si>
  <si>
    <t xml:space="preserve">Why you still need BM25 (sheet 14). Vectors are bad at "error code TS-4471".</t>
  </si>
  <si>
    <t xml:space="preserve">Values are</t>
  </si>
  <si>
    <t xml:space="preserve">Small whole numbers you can count on your fingers.</t>
  </si>
  <si>
    <t xml:space="preserve">Floats, usually normalised to unit length.</t>
  </si>
  <si>
    <t xml:space="preserve">Only cosmetic. Same geometry.</t>
  </si>
  <si>
    <t xml:space="preserve">TWO HARD RULES — Two rules that cause more production incidents than anything else on this sheet. FIRST: the query and the documents must be embedded by the SAME model. Two models produce two unrelated coordinate systems, and comparing across them yields confident nonsense — no error is thrown, results just quietly become garbage. SECOND: if you change embedding model, you must re-embed the entire corpus. There is no migration path. Budget for it.</t>
  </si>
  <si>
    <t xml:space="preserve">09  ·  STEP 5  —  THE VECTORS</t>
  </si>
  <si>
    <t xml:space="preserve">19 addresses in an 8-dimensional space, all computed live from sheet 07</t>
  </si>
  <si>
    <t xml:space="preserve">RAW VECTORS  —  each cell sums the term hits belonging to that axis</t>
  </si>
  <si>
    <t xml:space="preserve">axis key →</t>
  </si>
  <si>
    <t xml:space="preserve">Item</t>
  </si>
  <si>
    <t xml:space="preserve">D1
LEAVE</t>
  </si>
  <si>
    <t xml:space="preserve">D2
MONEY</t>
  </si>
  <si>
    <t xml:space="preserve">D3
PLACE</t>
  </si>
  <si>
    <t xml:space="preserve">D4
EQUIP</t>
  </si>
  <si>
    <t xml:space="preserve">D5
SECURITY</t>
  </si>
  <si>
    <t xml:space="preserve">D6
PROCESS</t>
  </si>
  <si>
    <t xml:space="preserve">D7
PEOPLE</t>
  </si>
  <si>
    <t xml:space="preserve">D8
HEALTH</t>
  </si>
  <si>
    <t xml:space="preserve">Length |v|</t>
  </si>
  <si>
    <t xml:space="preserve">Reading of this vector</t>
  </si>
  <si>
    <t xml:space="preserve">► QUERY</t>
  </si>
  <si>
    <t xml:space="preserve">your question</t>
  </si>
  <si>
    <t xml:space="preserve">This is your question's address in the space.</t>
  </si>
  <si>
    <t xml:space="preserve">LEAVE + HEALTH + PEOPLE — far from everything above. Sick leave lives in a different neighbourhood.</t>
  </si>
  <si>
    <t xml:space="preserve">MONEY + PLACE + PROCESS — the expenses decoy. Note how close this is to C10/C11.</t>
  </si>
  <si>
    <t xml:space="preserve">PLACE + EQUIP + MONEY — the allowance headline.</t>
  </si>
  <si>
    <t xml:space="preserve">PLACE + EQUIP + MONEY — the per-item limits. Nearly the same address as C10.</t>
  </si>
  <si>
    <t xml:space="preserve">SECURITY + EQUIP — but it contains the word 'desk' (IT service desk).</t>
  </si>
  <si>
    <t xml:space="preserve">NORMALISED VECTORS  —  same direction, every arrow now exactly 1.0 long</t>
  </si>
  <si>
    <t xml:space="preserve">Check |v|</t>
  </si>
  <si>
    <t xml:space="preserve">Why we do this</t>
  </si>
  <si>
    <t xml:space="preserve">Should read 1.000 (or 0 if your query hit no terms at all).</t>
  </si>
  <si>
    <t xml:space="preserve">Why normalise? The most important small idea on this sheet</t>
  </si>
  <si>
    <t xml:space="preserve">A long chunk mentions more terms, so its raw vector is longer. If we compared raw vectors by distance, long chunks would look different from short ones simply for being long — length would masquerade as meaning. Normalising divides every vector by its own length, which keeps its DIRECTION and throws away its MAGNITUDE. After that, a two-sentence chunk about desks and a two-page chunk about desks point the same way.</t>
  </si>
  <si>
    <t xml:space="preserve">INTUITION — Direction is meaning; magnitude is mostly verbosity. That one sentence is why cosine similarity beat Euclidean distance in text retrieval and never gave the crown back.</t>
  </si>
  <si>
    <t xml:space="preserve">AND A FREE OPTIMISATION — There is also a free performance win hiding here. Once every vector has length 1, the cosine similarity between two of them is just their dot product — the division has already been done. Production vector databases store normalised vectors for exactly this reason, turning every similarity computation into one multiply-and-add pass. You can verify it yourself on sheet 12, where columns D and E compute the same number two different ways.</t>
  </si>
  <si>
    <t xml:space="preserve">10  ·  STEP 6  —  THE MATHS, IN FULL</t>
  </si>
  <si>
    <t xml:space="preserve">Dot product, length, cosine. Three formulas. Nothing else is needed.</t>
  </si>
  <si>
    <t xml:space="preserve">A. Warm-up in two dimensions, where you can picture it</t>
  </si>
  <si>
    <t xml:space="preserve">Take two axes only: MONEY (horizontal) and SECURITY (vertical). Three short texts:  P = "expense claim receipt" sits at (3, 0), pointing straight along MONEY.  Qv = "salary bonus pay" sits at (3, 0) too, so P and Qv point identically.  R = "password encryption breach" sits at (0, 3), at a right angle to both. The cosine of the angle between two arrows is 1 when they point the same way, 0 at a right angle, and −1 when opposite. So cos(P,Qv)=1 and cos(P,R)=0 — and that number, the cosine, IS our similarity score. Everything below is that same idea in 8 dimensions instead of 2.</t>
  </si>
  <si>
    <t xml:space="preserve">B. Live playground — edit the yellow rows and watch the score move</t>
  </si>
  <si>
    <t xml:space="preserve">Vector</t>
  </si>
  <si>
    <t xml:space="preserve">Length</t>
  </si>
  <si>
    <t xml:space="preserve">Comment</t>
  </si>
  <si>
    <t xml:space="preserve">Vector A  (edit me)</t>
  </si>
  <si>
    <t xml:space="preserve">Default = the query "home office desk claim".</t>
  </si>
  <si>
    <t xml:space="preserve">Vector B  (edit me)</t>
  </si>
  <si>
    <t xml:space="preserve">Default = chunk C10, the allowance headline.</t>
  </si>
  <si>
    <t xml:space="preserve">Quantity</t>
  </si>
  <si>
    <t xml:space="preserve">Value</t>
  </si>
  <si>
    <t xml:space="preserve">Formula in words</t>
  </si>
  <si>
    <t xml:space="preserve">Why it matters</t>
  </si>
  <si>
    <t xml:space="preserve">1. Dot product  A·B</t>
  </si>
  <si>
    <t xml:space="preserve">Multiply the two vectors dimension by dimension, then add up the 8 products.</t>
  </si>
  <si>
    <t xml:space="preserve">Rewards agreement. Both vectors strong on EQUIP → a big contribution. One strong where the other is zero → contributes nothing. This single number is where similarity comes from.</t>
  </si>
  <si>
    <t xml:space="preserve">2. Length of A  |A|</t>
  </si>
  <si>
    <t xml:space="preserve">Square every component, add them, take the square root.</t>
  </si>
  <si>
    <t xml:space="preserve">Pythagoras, extended to 8 dimensions. Measures how much text there is, not what it means.</t>
  </si>
  <si>
    <t xml:space="preserve">3. Length of B  |B|</t>
  </si>
  <si>
    <t xml:space="preserve">Same, for B.</t>
  </si>
  <si>
    <t xml:space="preserve">Bigger for longer, wordier chunks.</t>
  </si>
  <si>
    <t xml:space="preserve">4. COSINE SIMILARITY</t>
  </si>
  <si>
    <t xml:space="preserve">Dot product divided by the two lengths.</t>
  </si>
  <si>
    <t xml:space="preserve">THE score. Dividing by both lengths cancels out sheer size and leaves pure direction: how aligned are these two meanings? Range 0 to 1 for word-count vectors like ours; −1 to 1 in general.</t>
  </si>
  <si>
    <t xml:space="preserve">5. Angle between them (degrees)</t>
  </si>
  <si>
    <t xml:space="preserve">The angle whose cosine is the score above.</t>
  </si>
  <si>
    <t xml:space="preserve">The same information in a form your geometric intuition can hold. 0° = identical meaning, 90° = unrelated.</t>
  </si>
  <si>
    <t xml:space="preserve">6. Euclidean distance  |A−B|</t>
  </si>
  <si>
    <t xml:space="preserve">Straight-line distance between the two points.</t>
  </si>
  <si>
    <t xml:space="preserve">The obvious alternative — and the wrong default for raw text vectors. Set B to exactly double A (0,2,4,2,0,0,0,0): cosine still says 1.000 because the meaning is unchanged, while Euclidean distance grows. Once vectors are normalised the two rank identically, which is why normalised + dot product is the production standard.</t>
  </si>
  <si>
    <t xml:space="preserve">EXPERIMENT — Do these three experiments now; they take a minute each and they are worth more than another page of prose.  (1) Make B identical to A — cosine hits 1.000 and the angle hits 0°.  (2) Make B the mirror image (put all its weight where A has none) — cosine falls to 0.000 and the angle opens to 90°.  (3) Double every number in B — the cosine does not move at all, while the Euclidean distance jumps. That third one is the whole argument for cosine in one keystroke.</t>
  </si>
  <si>
    <t xml:space="preserve">C. Which distance metric should I use?</t>
  </si>
  <si>
    <t xml:space="preserve">Metric</t>
  </si>
  <si>
    <t xml:space="preserve">Use when</t>
  </si>
  <si>
    <t xml:space="preserve">Watch out for</t>
  </si>
  <si>
    <t xml:space="preserve">Cosine similarity</t>
  </si>
  <si>
    <t xml:space="preserve">Text retrieval, almost always. Ignores document length by construction.</t>
  </si>
  <si>
    <t xml:space="preserve">Says nothing about magnitude — a one-word chunk can score 1.000 against a long query.</t>
  </si>
  <si>
    <t xml:space="preserve">Dot product</t>
  </si>
  <si>
    <t xml:space="preserve">Vectors are already normalised (then it equals cosine), or magnitude carries real signal.</t>
  </si>
  <si>
    <t xml:space="preserve">On un-normalised vectors it silently favours long documents.</t>
  </si>
  <si>
    <t xml:space="preserve">Euclidean (L2)</t>
  </si>
  <si>
    <t xml:space="preserve">Image embeddings, and any space where absolute position means something.</t>
  </si>
  <si>
    <t xml:space="preserve">For raw text vectors it conflates length with meaning.</t>
  </si>
  <si>
    <t xml:space="preserve">11  ·  STEP 7  —  THE QUERY BECOMES A VECTOR</t>
  </si>
  <si>
    <t xml:space="preserve">Everything so far ran offline. From here on, the clock is running.</t>
  </si>
  <si>
    <t xml:space="preserve">Sheets 04 to 09 were the indexing phase: done once, ahead of time, cost amortised over every future question. Now a user types something and we are on the clock. The first online step is almost anticlimactic — the question goes through exactly the same machinery the chunks went through, and comes out as a vector in the same space.</t>
  </si>
  <si>
    <t xml:space="preserve">Your query's journey, live</t>
  </si>
  <si>
    <t xml:space="preserve">Value right now</t>
  </si>
  <si>
    <t xml:space="preserve">What happened</t>
  </si>
  <si>
    <t xml:space="preserve">1. Raw query</t>
  </si>
  <si>
    <t xml:space="preserve">Exactly what the user typed. Change it on 00_START_HERE and this whole sheet moves.</t>
  </si>
  <si>
    <t xml:space="preserve">2. Normalised text</t>
  </si>
  <si>
    <t xml:space="preserve">Lowercased and space-padded. Real systems also strip punctuation and apply the tokeniser's own normalisation.</t>
  </si>
  <si>
    <t xml:space="preserve">3. Terms matched</t>
  </si>
  <si>
    <t xml:space="preserve">How many of our 57 known term-stems the query hit. If this is 0, the query is invisible to the system and every score below collapses.</t>
  </si>
  <si>
    <t xml:space="preserve">4.1  Dimension D1 · LEAVE</t>
  </si>
  <si>
    <t xml:space="preserve">4.2  Dimension D2 · MONEY</t>
  </si>
  <si>
    <t xml:space="preserve">4.3  Dimension D3 · PLACE</t>
  </si>
  <si>
    <t xml:space="preserve">4.4  Dimension D4 · EQUIP</t>
  </si>
  <si>
    <t xml:space="preserve">4.5  Dimension D5 · SECURITY</t>
  </si>
  <si>
    <t xml:space="preserve">4.6  Dimension D6 · PROCESS</t>
  </si>
  <si>
    <t xml:space="preserve">4.7  Dimension D7 · PEOPLE</t>
  </si>
  <si>
    <t xml:space="preserve">4.8  Dimension D8 · HEALTH</t>
  </si>
  <si>
    <t xml:space="preserve">5. Vector length</t>
  </si>
  <si>
    <t xml:space="preserve">The query is now a point in the same 8-dimensional space as all 18 chunks.</t>
  </si>
  <si>
    <t xml:space="preserve">THE RULE THAT BITES — The whole game is that steps 1-5 use the SAME transformation the chunks went through. If the chunks were embedded with one model and the query with another, both would produce perfectly valid-looking vectors, the cosine formula would return perfectly valid-looking numbers, and every one of them would be meaningless. Nothing would crash. Nothing would warn you. This is the quietest catastrophic bug in RAG.</t>
  </si>
  <si>
    <t xml:space="preserve">The asymmetry problem nobody mentions in tutorials</t>
  </si>
  <si>
    <t xml:space="preserve">A query and a document are different kinds of text. "how much for a desk" is eight words, interrogative, sparse. The chunk that answers it is forty words, declarative, dense. We are asking one embedding space to place both of them sensibly, even though they do not look alike — a question rarely resembles its own answer.</t>
  </si>
  <si>
    <t xml:space="preserve">Cost</t>
  </si>
  <si>
    <t xml:space="preserve">Asymmetric embedding models</t>
  </si>
  <si>
    <t xml:space="preserve">Models like E5 and BGE are trained with prefixes — you literally prepend "query: " and "passage: " — so the model learns to map a question and its answer to the same region despite their different surface form.</t>
  </si>
  <si>
    <t xml:space="preserve">Free. Just use the prefixes the model card tells you to. Forgetting them measurably degrades results.</t>
  </si>
  <si>
    <t xml:space="preserve">HyDE</t>
  </si>
  <si>
    <t xml:space="preserve">Ask an LLM to hallucinate a fake ANSWER to the question, then embed that instead of the question. A fake answer looks like a real answer, so it lands closer to real answers. See sheet 17.</t>
  </si>
  <si>
    <t xml:space="preserve">One extra LLM call per query.</t>
  </si>
  <si>
    <t xml:space="preserve">Query expansion</t>
  </si>
  <si>
    <t xml:space="preserve">Add synonyms and likely phrasings before embedding: "desk" → "desk, workstation, table, work surface".</t>
  </si>
  <si>
    <t xml:space="preserve">Cheap. Can add noise.</t>
  </si>
  <si>
    <t xml:space="preserve">12  ·  STEP 8  —  SIMILARITY SEARCH</t>
  </si>
  <si>
    <t xml:space="preserve">The moment of truth. Compare the query to all 18 chunks and keep the best K.</t>
  </si>
  <si>
    <t xml:space="preserve">The leaderboard  —  live, sorted by rank, driven by the query on 00_START_HERE</t>
  </si>
  <si>
    <t xml:space="preserve">Column D computes cosine the long way (dot product over the two lengths, straight from the raw vectors on sheet 09). Column E computes it the short way (dot product of the already-normalised vectors). They agree to every decimal place, which is the free optimisation from sheet 09 proving itself.</t>
  </si>
  <si>
    <t xml:space="preserve">Cosine (long way)</t>
  </si>
  <si>
    <t xml:space="preserve">Cosine (normalised dot)</t>
  </si>
  <si>
    <t xml:space="preserve">Rank</t>
  </si>
  <si>
    <t xml:space="preserve">Retrieved?</t>
  </si>
  <si>
    <t xml:space="preserve">Chunk text</t>
  </si>
  <si>
    <t xml:space="preserve">What the grader would say</t>
  </si>
  <si>
    <t xml:space="preserve">Not relevant.</t>
  </si>
  <si>
    <t xml:space="preserve">Wrong. Generic expense process.</t>
  </si>
  <si>
    <t xml:space="preserve">WRONG AND ACTIVELY MISLEADING — this section EXCLUDES home office equipment.</t>
  </si>
  <si>
    <t xml:space="preserve">Wrong. Remote eligibility, no money.</t>
  </si>
  <si>
    <t xml:space="preserve">PARTIAL — says the allowance is 60,000 and covers a desk, but NOT the desk limit that was asked for.</t>
  </si>
  <si>
    <t xml:space="preserve">THE ANSWER — 'a desk may cost up to 25,000 rupees'.</t>
  </si>
  <si>
    <t xml:space="preserve">Wrong — matched on 'IT service desk'.</t>
  </si>
  <si>
    <t xml:space="preserve">Top-K in use:</t>
  </si>
  <si>
    <t xml:space="preserve">Best score:</t>
  </si>
  <si>
    <t xml:space="preserve">READ THIS. It is the most important sheet in the course.</t>
  </si>
  <si>
    <t xml:space="preserve">With the default query — "How much can I claim for a home office desk" — the ranking comes out C10, then C08, then C11. Now look at what that means for a user who trusted the system.</t>
  </si>
  <si>
    <t xml:space="preserve">If Top-K =</t>
  </si>
  <si>
    <t xml:space="preserve">The model receives</t>
  </si>
  <si>
    <t xml:space="preserve">The answer it produces</t>
  </si>
  <si>
    <t xml:space="preserve">C10 only</t>
  </si>
  <si>
    <t xml:space="preserve">"You can claim 60,000 rupees for a home office desk."</t>
  </si>
  <si>
    <t xml:space="preserve">WRONG. 60,000 is the TOTAL allowance for desk + chair + monitor + keyboard + headset. The desk limit is 25,000. The user over-orders, finance rejects it, and nobody can tell why the AI said that.</t>
  </si>
  <si>
    <t xml:space="preserve">C10 and C08</t>
  </si>
  <si>
    <t xml:space="preserve">Same wrong number, now with a confident sentence about the expense-claim process bolted on.</t>
  </si>
  <si>
    <t xml:space="preserve">WORSE. C08 is the Expense Reimbursement section, which explicitly says home office equipment is NOT claimed this way. The model has been handed a contradiction and no way to resolve it.</t>
  </si>
  <si>
    <t xml:space="preserve">C10, C08 and C11</t>
  </si>
  <si>
    <t xml:space="preserve">"The allowance is 60,000 total; a desk specifically is capped at 25,000."</t>
  </si>
  <si>
    <t xml:space="preserve">CORRECT — but note WHY. Not because retrieval understood the question, but because we cast a wide enough net that the right chunk fell in at rank 3. That is luck with a dial on it.</t>
  </si>
  <si>
    <t xml:space="preserve">FAILURE ONE: CHUNKING — Two independent failures produced that, and they are the two failures of vector RAG. FIRST, CHUNKING BROKE THE ANSWER. Section 3.2 was one coherent policy; chunking split it, putting the headline figure in C10 and the desk-specific limit in C11. No retrieval algorithm can undo that — the damage was done offline, before any question was asked.</t>
  </si>
  <si>
    <t xml:space="preserve">FAILURE TWO: SIMILARITY ≠ RELEVANCE — SECOND, SIMILARITY IS NOT RELEVANCE. C08 outranked C11. C08 is dense with claim, expense, receipt, rupees, home and office — it LOOKS like the question. But read it: it says home office equipment is NOT claimed through this process. It is the one section in the entire corpus that explicitly excludes the thing being asked about, and cosine similarity scored it second. Cosine has no representation for the word NOT. It counts leanings, and a section about excluding X leans the same way as a section about including X.</t>
  </si>
  <si>
    <t xml:space="preserve">AND THE FIX THAT ISN'T — The obvious fix — raise Top-K — is not a fix, it is a bet. Set Top-K to 3 above and the right answer appears. Set it to 10 and you have solved this query by pasting most of the corpus into the prompt, which costs tokens, adds latency, and buries the answer among distractors that the model must now out-reason. You have not made retrieval smarter; you have made it lazier and hoped the LLM covers for you. Sheets 14-16 are proper fixes. Sheet 21 questions the premise.</t>
  </si>
  <si>
    <t xml:space="preserve">DO IT AGAIN — Now go and change the query on 00_START_HERE to "laptop stolen" and come back. You will find C16 at rank 1 and C17 at rank 3, with C12 (laptop encryption — similar, irrelevant) wedged between them. The same two failures, on a different question. This is not a rigged example; it is what chunk-and-embed does.</t>
  </si>
  <si>
    <t xml:space="preserve">13  ·  STEP 9  —  THE INDEX: WHY BRUTE FORCE BREAKS</t>
  </si>
  <si>
    <t xml:space="preserve">Sheet 12 compared the query to all 18 chunks. Try that with 50 million.</t>
  </si>
  <si>
    <t xml:space="preserve">The cost of exact search — live calculator</t>
  </si>
  <si>
    <t xml:space="preserve">Exact ("flat") search does what sheet 12 did: compare the query against every single vector. The cost is chunks × dimensions multiply-adds per query. Edit the yellow cells.</t>
  </si>
  <si>
    <t xml:space="preserve">Input</t>
  </si>
  <si>
    <t xml:space="preserve">Result</t>
  </si>
  <si>
    <t xml:space="preserve">Number of chunks in the index</t>
  </si>
  <si>
    <t xml:space="preserve">Embedding dimensions</t>
  </si>
  <si>
    <t xml:space="preserve">Machine speed (multiply-adds per second)</t>
  </si>
  <si>
    <t xml:space="preserve">Multiply-adds per exact query</t>
  </si>
  <si>
    <t xml:space="preserve">Every vector, every dimension. No shortcuts.</t>
  </si>
  <si>
    <t xml:space="preserve">Seconds per exact query</t>
  </si>
  <si>
    <t xml:space="preserve">Anything over ~0.1 s here and your users feel the search, not the answer.</t>
  </si>
  <si>
    <t xml:space="preserve">Memory for raw float32 vectors (GB)</t>
  </si>
  <si>
    <t xml:space="preserve">4 bytes per number. This is why quantisation exists.</t>
  </si>
  <si>
    <t xml:space="preserve">Comparisons with HNSW instead (approx.)</t>
  </si>
  <si>
    <t xml:space="preserve">Roughly log-scaled rather than linear. Read on.</t>
  </si>
  <si>
    <t xml:space="preserve">Speed-up factor</t>
  </si>
  <si>
    <t xml:space="preserve">The whole reason ANN indexes exist.</t>
  </si>
  <si>
    <t xml:space="preserve">INTUITION — At the defaults that is 7.7 billion multiply-adds for one question — well under a second on paper, but that is one query on a machine doing nothing else. Multiply by a thousand concurrent users and exact search collapses. Approximate Nearest Neighbour (ANN) search trades a small, measurable amount of accuracy for orders of magnitude of speed.</t>
  </si>
  <si>
    <t xml:space="preserve">The three index families, by intuition</t>
  </si>
  <si>
    <t xml:space="preserve">The intuition</t>
  </si>
  <si>
    <t xml:space="preserve">Knobs</t>
  </si>
  <si>
    <t xml:space="preserve">Trade-off</t>
  </si>
  <si>
    <t xml:space="preserve">FLAT (exact)</t>
  </si>
  <si>
    <t xml:space="preserve">Check everything. No index at all, just a loop over the vectors.</t>
  </si>
  <si>
    <t xml:space="preserve">None.</t>
  </si>
  <si>
    <t xml:space="preserve">100% recall, linear cost. Genuinely correct for under ~10,000 vectors — do not over-engineer.</t>
  </si>
  <si>
    <t xml:space="preserve">IVF (inverted file)</t>
  </si>
  <si>
    <t xml:space="preserve">Cluster all vectors into, say, 1,000 groups and remember each group's centre. At query time find the few nearest centres and search only inside those groups. Like a supermarket: go to the dairy aisle, ignore the other forty.</t>
  </si>
  <si>
    <t xml:space="preserve">nlist (how many clusters), nprobe (how many to actually search).</t>
  </si>
  <si>
    <t xml:space="preserve">Fast, memory-light. If the answer sits just over a cluster boundary you will never see it — raise nprobe to widen the net.</t>
  </si>
  <si>
    <t xml:space="preserve">HNSW (graph)</t>
  </si>
  <si>
    <t xml:space="preserve">Build a navigable graph where each vector links to its neighbours, in layers: a sparse top layer for big jumps across the space, denser layers below for fine positioning. Search enters at the top, greedily hops toward the query, drops a layer, repeats. Like flying to the right country, driving to the right city, then walking to the right street.</t>
  </si>
  <si>
    <t xml:space="preserve">M (links per node), efConstruction (build effort), efSearch (search effort).</t>
  </si>
  <si>
    <t xml:space="preserve">The production default — excellent recall, very fast. Costs the most memory and is slow to build.</t>
  </si>
  <si>
    <t xml:space="preserve">Quantisation (PQ / SQ)</t>
  </si>
  <si>
    <t xml:space="preserve">Do not store 1,536 exact floats. Compress each vector into a small code, search the compressed codes, then rescore the survivors precisely.</t>
  </si>
  <si>
    <t xml:space="preserve">Number of subvectors, bits per code.</t>
  </si>
  <si>
    <t xml:space="preserve">10-50x less memory at a small recall cost. Combines with IVF or HNSW rather than replacing them.</t>
  </si>
  <si>
    <t xml:space="preserve">THE HIDDEN FAILURE — The A in ANN is the part to internalise: APPROXIMATE. Your index can silently fail to return a chunk that is genuinely the nearest neighbour. Recall@10 of 0.95 means one query in twenty misses something it should have found, and nothing anywhere reports an error. When you evaluate a RAG system and a known-good document does not come back, the index is a suspect alongside chunking and embeddings.</t>
  </si>
  <si>
    <t xml:space="preserve">Metadata filtering — the underrated feature</t>
  </si>
  <si>
    <t xml:space="preserve">Every serious vector store lets you attach metadata (document, section, date, department, permissions) and filter on it. "Search only DOC-A", "only sections updated after January", "only what this user is cleared to see". Two things follow. First, permissions belong HERE, at retrieval — never trust a prompt instruction telling the model to withhold something it can see; if it is in the context window, it can leak. Second, filtering is often a bigger accuracy win than any embedding upgrade, because narrowing the haystack beats improving the magnet.</t>
  </si>
  <si>
    <t xml:space="preserve">A SHARP EDGE — Beware pre- versus post-filtering. Post-filtering fetches the top 10 and then discards those failing the filter, so a narrow filter can leave you with two results, or none. Pre-filtering restricts the search space first and always returns a full K. Check which one your vector database does; the difference is invisible until it bites.</t>
  </si>
  <si>
    <t xml:space="preserve">14  ·  STEP 10  —  KEYWORD SEARCH AND BM25</t>
  </si>
  <si>
    <t xml:space="preserve">The forty-year-old algorithm that still beats embeddings at the things embeddings are bad at</t>
  </si>
  <si>
    <t xml:space="preserve">Embeddings are wonderful at synonyms and terrible at exact strings. Ask for error code TS-4471, a part number, a person's surname, or a section reference like A.3.2, and a dense retriever gives you things that are vaguely about error codes. BM25 — Best Match 25, the workhorse behind Lucene, Elasticsearch and every search bar you have used since the 1990s — gives you the document containing that literal string. Modern RAG runs both. Below, BM25 is computed live on the same 18 chunks.</t>
  </si>
  <si>
    <t xml:space="preserve">BM25 leaderboard — same query, completely different machinery</t>
  </si>
  <si>
    <t xml:space="preserve">Length (words)</t>
  </si>
  <si>
    <t xml:space="preserve">BM25 score</t>
  </si>
  <si>
    <t xml:space="preserve">BM25 rank</t>
  </si>
  <si>
    <t xml:space="preserve">Vector rank</t>
  </si>
  <si>
    <t xml:space="preserve">Rank change</t>
  </si>
  <si>
    <t xml:space="preserve">Average chunk length (avgdl)</t>
  </si>
  <si>
    <t xml:space="preserve">← BM25 needs this to know whether a chunk is long or short for this corpus</t>
  </si>
  <si>
    <t xml:space="preserve">Under the hood — the IDF table</t>
  </si>
  <si>
    <t xml:space="preserve">IDF (inverse document frequency) is the idea that a term appearing in every chunk tells you nothing, while a term appearing in one chunk tells you almost everything. "The" is worthless; "phishing" is decisive. df counts how many of the 18 chunks contain the term; IDF is high when df is low.</t>
  </si>
  <si>
    <t xml:space="preserve">df (chunks containing it)</t>
  </si>
  <si>
    <t xml:space="preserve">IDF</t>
  </si>
  <si>
    <t xml:space="preserve">In your query?</t>
  </si>
  <si>
    <t xml:space="preserve">The BM25 formula, decoded</t>
  </si>
  <si>
    <t xml:space="preserve">score(chunk) = Σ over query terms of:   IDF(term)  ×   f × (k1+1)  /  ( f + k1 × (1 − b + b × chunkLength / avgLength) )
where f is how many times the term appears in that chunk. Three ideas are packed in there and each is worth understanding on its own.</t>
  </si>
  <si>
    <t xml:space="preserve">What it does</t>
  </si>
  <si>
    <t xml:space="preserve">Why it is right</t>
  </si>
  <si>
    <t xml:space="preserve">IDF(term)</t>
  </si>
  <si>
    <t xml:space="preserve">Weights rare terms higher.</t>
  </si>
  <si>
    <t xml:space="preserve">A chunk containing "phishing" is far more informative than one containing "the". Rarity is evidence.</t>
  </si>
  <si>
    <t xml:space="preserve">f × (k1+1) / (f + k1 ...)  — saturation</t>
  </si>
  <si>
    <t xml:space="preserve">Term frequency helps, but with sharply diminishing returns. k1 controls how sharply.</t>
  </si>
  <si>
    <t xml:space="preserve">A chunk mentioning "desk" 5 times is more about desks than one mentioning it once — but it is not five times more about desks. Without saturation, keyword stuffing wins every search. Set k1 to 0 on the control panel and watch frequency stop mattering entirely.</t>
  </si>
  <si>
    <t xml:space="preserve">(1 − b + b × dl/avgdl)  — length normalisation</t>
  </si>
  <si>
    <t xml:space="preserve">Penalises long chunks, which contain more of everything by accident.</t>
  </si>
  <si>
    <t xml:space="preserve">b = 0 ignores length; b = 1 fully normalises; 0.75 is the standard compromise. Change b on the control panel and watch long chunks rise or fall.</t>
  </si>
  <si>
    <t xml:space="preserve">BM25 FAILS WORSE — First, the headline: BM25 ranks C08 FIRST — higher than cosine did. The decoy that merely DISCUSSES claiming home office equipment, in order to say you cannot, is stuffed with claim, claimed, expense, receipt, home and office. Keyword search rewards exactly that. So the two methods do not fail independently here; they fail in the same direction, for related reasons. Remember this when you reach sheet 15 and expect fusion to save you.</t>
  </si>
  <si>
    <t xml:space="preserve">THE COLLISION, LIVE — Second, look at C16. It is the LOST OR STOLEN DEVICE section, and it is scoring on a query about a home office desk — because it contains the phrase "IT service desk". That is the signature weakness of keyword search: it matches strings, not meanings, and the same string can mean two unrelated things. Meanwhile embeddings would happily match "workstation" where BM25 sees nothing at all. The two methods fail in opposite directions, which is precisely the argument for running both.</t>
  </si>
  <si>
    <t xml:space="preserve">A CONTRARIAN NOTE — When in doubt, start with BM25. It needs no GPU, no embedding model and no re-indexing when a model is deprecated; it is transparent enough to debug by reading; and on keyword-heavy corpora it is a genuinely hard baseline to beat. A distressing number of vector-database migrations have quietly underperformed the Elasticsearch instance they replaced.</t>
  </si>
  <si>
    <t xml:space="preserve">15  ·  STEP 11  —  HYBRID SEARCH AND RECIPROCAL RANK FUSION</t>
  </si>
  <si>
    <t xml:space="preserve">Two rankings, two different weaknesses. Merge them without needing them to agree on scale.</t>
  </si>
  <si>
    <t xml:space="preserve">You now have two ranked lists of the same 18 chunks. Vector search understands meaning and is blind to exact strings. BM25 understands exact strings and is blind to meaning. The obvious move is to combine them — but you cannot simply add the scores, because a cosine of 0.83 and a BM25 of 4.97 are not measured in the same units, do not share a range, and are not even on comparable scales from one query to the next. Adding them means silently letting whichever number happens to be bigger win.</t>
  </si>
  <si>
    <t xml:space="preserve">INTUITION — Reciprocal Rank Fusion sidesteps this entirely by throwing the scores away and keeping only the RANKS. Rank is unit-free. "Third best" means the same thing in both lists. This is a lovely piece of engineering judgement: the scores contain more information, but that extra information is not comparable across systems, so discarding it makes the result more robust rather than less.</t>
  </si>
  <si>
    <t xml:space="preserve">RRF, live.    score = 1/(k + vector rank)  +  1/(k + BM25 rank)</t>
  </si>
  <si>
    <t xml:space="preserve">Cosine</t>
  </si>
  <si>
    <t xml:space="preserve">RRF score</t>
  </si>
  <si>
    <t xml:space="preserve">RRF rank</t>
  </si>
  <si>
    <t xml:space="preserve">Why 1/(k + rank), and why k = 60</t>
  </si>
  <si>
    <t xml:space="preserve">Element</t>
  </si>
  <si>
    <t xml:space="preserve">Effect</t>
  </si>
  <si>
    <t xml:space="preserve">The reciprocal</t>
  </si>
  <si>
    <t xml:space="preserve">Rank 1 contributes far more than rank 2, which contributes more than rank 3, and by rank 15 the contribution is nearly nothing. The curve is steep at the top and flat at the bottom, which matches how much you actually care about the difference between 1st and 2nd versus 14th and 15th.</t>
  </si>
  <si>
    <t xml:space="preserve">Adding across systems</t>
  </si>
  <si>
    <t xml:space="preserve">A chunk both systems rank highly beats a chunk one system loves and the other ignores. Agreement between independent methods is evidence; RRF is a cheap way of counting it.</t>
  </si>
  <si>
    <t xml:space="preserve">The constant k</t>
  </si>
  <si>
    <t xml:space="preserve">Damping. Without it, rank 1 would score 1.0 and rank 2 only 0.5 — so a single system's top pick would dominate everything. k = 60 flattens the curve enough that a chunk ranked 3rd by both systems can beat a chunk ranked 1st by one and 20th by the other. Set k to 1 on the control panel to see the aggressive version; set it to 500 for the near-democratic one.</t>
  </si>
  <si>
    <t xml:space="preserve">k = 60 specifically</t>
  </si>
  <si>
    <t xml:space="preserve">It comes from the original 2009 Cormack et al. paper on rank fusion, and it has survived because it works across a wide range of tasks. It is a sensible default, not a law. Tune it if you evaluate.</t>
  </si>
  <si>
    <t xml:space="preserve">THE UNCOMFORTABLE RESULT — Now read the result honestly, because it is not the happy ending the technique usually gets. C08 — the section that EXCLUDES home office equipment — was 2nd on cosine and 1st on BM25, and it comes out of fusion ranked 1st. Fusion did not rescue us. It could not: RRF combines EVIDENCE, and both systems supplied the same wrong evidence. When two methods fail in the same direction, averaging them produces a confident consensus failure.</t>
  </si>
  <si>
    <t xml:space="preserve">WHAT IT IS ACTUALLY FOR — So what IS fusion good for? Look at C16, which BM25 ranks 5th on the strength of "IT service desk" while the vector side is unconvinced at 7th; fused, it settles at 6th instead of climbing. That is the real job: damping one system's isolated mistake. Check all 18 rows and you will find no chunk whose fused rank beats BOTH of its input ranks. RRF is a smoothing operation, not a discovery mechanism — it makes your ranking more robust, and it cannot make it smarter.</t>
  </si>
  <si>
    <t xml:space="preserve">THE HANDOVER — Which sets up the next sheet exactly. Every method so far — cosine, BM25, fusion — scores text WITHOUT READING IT. All three were fooled by the same chunk, for the same reason: it is full of the right words and it says the opposite of what those words suggest. No amount of cleverer scoring fixes that. Something has to read the sentence.</t>
  </si>
  <si>
    <t xml:space="preserve">WHEN TO GO FURTHER — RRF is the default because it needs no tuning and no training data. If you have labelled data, a learned fusion (weighted combination, or a small learning-to-rank model) will beat it. Most teams never get labelled data, which is why most teams should use RRF and move on to reranking, which is where the larger win is.</t>
  </si>
  <si>
    <t xml:space="preserve">16  ·  STEP 12  —  RERANKING</t>
  </si>
  <si>
    <t xml:space="preserve">The single highest-value component you can add to a mediocre RAG system</t>
  </si>
  <si>
    <t xml:space="preserve">Bi-encoder versus cross-encoder — the distinction the whole idea rests on</t>
  </si>
  <si>
    <t xml:space="preserve">BI-ENCODER  (everything up to sheet 15)</t>
  </si>
  <si>
    <t xml:space="preserve">CROSS-ENCODER  (the reranker)</t>
  </si>
  <si>
    <t xml:space="preserve">How it reads</t>
  </si>
  <si>
    <t xml:space="preserve">Encodes the query alone and each chunk alone, separately, and then compares the two vectors.</t>
  </si>
  <si>
    <t xml:space="preserve">Reads the query and ONE chunk TOGETHER, as a single piece of text, and outputs a relevance score.</t>
  </si>
  <si>
    <t xml:space="preserve">The consequence</t>
  </si>
  <si>
    <t xml:space="preserve">The chunk's vector was computed months ago, before your question existed. It cannot possibly have been shaped by it.</t>
  </si>
  <si>
    <t xml:space="preserve">Every word of the question can attend to every word of the chunk. The model can notice that the chunk says the thing is NOT covered here.</t>
  </si>
  <si>
    <t xml:space="preserve">Speed</t>
  </si>
  <si>
    <t xml:space="preserve">Chunks are embedded once, offline. A query is one embedding plus a fast index lookup. Milliseconds over millions of chunks.</t>
  </si>
  <si>
    <t xml:space="preserve">One full model pass per (query, chunk) pair, at query time. Roughly 10-100 ms per pair. Utterly impossible over millions.</t>
  </si>
  <si>
    <t xml:space="preserve">Accuracy</t>
  </si>
  <si>
    <t xml:space="preserve">Good.</t>
  </si>
  <si>
    <t xml:space="preserve">Substantially better. This is a genuine step change, not a marginal gain.</t>
  </si>
  <si>
    <t xml:space="preserve">INTUITION — So use both, in sequence. The bi-encoder is a cheap, fast net that pulls 50 plausible candidates out of a million. The cross-encoder is an expensive, accurate judge that reads those 50 properly and keeps the best 3. Neither could do the other's job: the net is too crude to be a judge, and the judge is far too slow to be a net. Almost every retrieval architecture worth knowing has this cheap-wide-then-expensive-narrow shape.</t>
  </si>
  <si>
    <t xml:space="preserve">Before and after — edit the yellow column and re-rank</t>
  </si>
  <si>
    <t xml:space="preserve">Column F holds illustrative cross-encoder scores: what a model that actually READS the question and the chunk together would plausibly return for the default query. They are hand-set here (this workbook cannot run a neural network) but they are set the way a real cross-encoder behaves — note especially C08, which a bi-encoder ranks 2nd and a reader would score near zero, because a reader can see the word NOT.</t>
  </si>
  <si>
    <t xml:space="preserve">Bi-encoder rank</t>
  </si>
  <si>
    <t xml:space="preserve">Cross-encoder score (edit me)</t>
  </si>
  <si>
    <t xml:space="preserve">New rank</t>
  </si>
  <si>
    <t xml:space="preserve">Final cut?</t>
  </si>
  <si>
    <t xml:space="preserve">Why the reranker scores it this way</t>
  </si>
  <si>
    <t xml:space="preserve">Different topic entirely.</t>
  </si>
  <si>
    <t xml:space="preserve">General expense process. Related territory, does not answer the question.</t>
  </si>
  <si>
    <t xml:space="preserve">A reader sees 'Home office equipment is NOT claimed through this process' and scores it as an EXCLUSION, not a match. The bi-encoder ranked this 2nd.</t>
  </si>
  <si>
    <t xml:space="preserve">Remote work eligibility. No money, no equipment.</t>
  </si>
  <si>
    <t xml:space="preserve">Reads as directly on-topic: home office allowance, mentions a desk, gives a number. But the number is the total, not the desk limit.</t>
  </si>
  <si>
    <t xml:space="preserve">Contains the literal answer: a desk may cost up to 25,000 rupees. A reader spots this instantly; a bag-of-directions does not.</t>
  </si>
  <si>
    <t xml:space="preserve">Matched only on 'IT service desk'. A reader dismisses this in one glance.</t>
  </si>
  <si>
    <t xml:space="preserve">THE PAYOFF — Look at what changed. C11 — the chunk holding the actual 25,000 answer — was 3rd and is now 1st. C10 is 2nd. C08, which cosine ranked 2nd and BM25 and fusion both ranked 1st, drops to 5th and falls out of the cut entirely. With Top-K = 3 the pre-rerank prompt contained one right chunk and one actively contradictory one; the post-rerank prompt contains both halves of the answer plus a harmless third. Same retrieval, same embeddings, same chunks, same fusion. All that changed is that something finally READ them.</t>
  </si>
  <si>
    <t xml:space="preserve">Practical guidance</t>
  </si>
  <si>
    <t xml:space="preserve">Question</t>
  </si>
  <si>
    <t xml:space="preserve">Answer</t>
  </si>
  <si>
    <t xml:space="preserve">How many candidates should I rerank?</t>
  </si>
  <si>
    <t xml:space="preserve">Retrieve 30-100, rerank, keep 3-5. Below 20 you have not given the reranker anything to fix; above 100 latency stops being worth it.</t>
  </si>
  <si>
    <t xml:space="preserve">Which reranker?</t>
  </si>
  <si>
    <t xml:space="preserve">Cohere Rerank and Jina Reranker are hosted and strong. BGE-reranker and mixedbread are solid open-weight options you can self-host. An LLM prompted to score relevance also works and is the easiest thing to prototype.</t>
  </si>
  <si>
    <t xml:space="preserve">What does it cost?</t>
  </si>
  <si>
    <t xml:space="preserve">Latency of roughly 50-300 ms for 50 candidates, plus per-call cost on a hosted API. Usually the best accuracy-per-millisecond in the entire pipeline.</t>
  </si>
  <si>
    <t xml:space="preserve">When can I skip it?</t>
  </si>
  <si>
    <t xml:space="preserve">When your corpus is small and homogeneous, when latency budget is brutal, or when evaluation shows top-1 is already right. Measure before you assume.</t>
  </si>
  <si>
    <t xml:space="preserve">Does it fix bad chunks?</t>
  </si>
  <si>
    <t xml:space="preserve">No. And this is the limit worth remembering. A reranker can only reorder what retrieval handed it. If chunking split the answer in half, the reranker will faithfully rank both halves highly and still hand the model half an answer. Reranking fixes ORDERING, never INGESTION.</t>
  </si>
  <si>
    <t xml:space="preserve">17  ·  STEP 13  —  QUERY TRANSFORMATION</t>
  </si>
  <si>
    <t xml:space="preserve">Fixing the question before you go looking for the answer</t>
  </si>
  <si>
    <t xml:space="preserve">Everything so far assumed the user's question is a good search query. It usually is not. Real questions are terse ("desk money?"), conversational ("what about the chair?" — referring to something three turns back), compound ("what is the allowance and who approves it?"), or phrased in words that appear nowhere in your corpus. Query transformation reshapes the question before retrieval runs.</t>
  </si>
  <si>
    <t xml:space="preserve">The five transformations, with examples on our corpus</t>
  </si>
  <si>
    <t xml:space="preserve">Technique</t>
  </si>
  <si>
    <t xml:space="preserve">Example on our corpus</t>
  </si>
  <si>
    <t xml:space="preserve">Cost / risk</t>
  </si>
  <si>
    <t xml:space="preserve">Rewriting</t>
  </si>
  <si>
    <t xml:space="preserve">An LLM turns a messy or conversational question into a clean standalone search query.</t>
  </si>
  <si>
    <t xml:space="preserve">"desk money?" → "home office equipment allowance limit for a desk"</t>
  </si>
  <si>
    <t xml:space="preserve">One small LLM call. Risk: the rewrite drifts from what the user meant.</t>
  </si>
  <si>
    <t xml:space="preserve">Conversational rewriting</t>
  </si>
  <si>
    <t xml:space="preserve">Resolves pronouns and references using chat history — mandatory for any multi-turn assistant.</t>
  </si>
  <si>
    <t xml:space="preserve">History: "what is the home office allowance?"  Now: "and for a chair?" → "home office equipment allowance limit for a chair". Without this, "and for a chair?" retrieves nothing useful.</t>
  </si>
  <si>
    <t xml:space="preserve">One LLM call per turn. Non-negotiable in chat; the commonest omission in chat RAG.</t>
  </si>
  <si>
    <t xml:space="preserve">Decomposition</t>
  </si>
  <si>
    <t xml:space="preserve">Splits a compound question into sub-questions, retrieves for each, then merges.</t>
  </si>
  <si>
    <t xml:space="preserve">"What is the desk allowance and who approves fully remote work?" → two searches, hitting section 3.2 and section 3.1 respectively. One search would land between them and satisfy neither.</t>
  </si>
  <si>
    <t xml:space="preserve">N searches instead of 1. The right answer for genuinely multi-part questions.</t>
  </si>
  <si>
    <t xml:space="preserve">Multi-query</t>
  </si>
  <si>
    <t xml:space="preserve">Generates 3-5 paraphrases, searches with all of them, fuses the results with RRF.</t>
  </si>
  <si>
    <t xml:space="preserve">"desk allowance" also becomes "workstation budget", "furniture reimbursement limit", "office equipment cap" — casting a wider net over phrasing.</t>
  </si>
  <si>
    <t xml:space="preserve">N embeddings + N searches. Reliable recall improvement; costs latency.</t>
  </si>
  <si>
    <t xml:space="preserve">Asks an LLM to invent a plausible ANSWER, then embeds THAT instead of the question. A hypothetical answer looks like a real passage, so it lands nearer real passages than a question does.</t>
  </si>
  <si>
    <t xml:space="preserve">"How much for a desk?" → hallucinate: "The home office allowance permits up to 25,000 rupees for a desk." Embed that. Notice it may hallucinate the wrong NUMBER and still retrieve the right SECTION — which is all that matters, because the real chunk supplies the real number.</t>
  </si>
  <si>
    <t xml:space="preserve">One LLM call. Elegant; fails on questions with no plausible answer shape.</t>
  </si>
  <si>
    <t xml:space="preserve">INTUITION — HyDE is worth pausing on because it inverts an assumption most people carry. Search normally compares a question to answers, but questions and answers do not look alike — that is the asymmetry from sheet 11. HyDE fabricates something answer-SHAPED and compares like with like. The fabrication being factually wrong does not matter at all, because it is never shown to anyone; it is used purely as a direction in the embedding space.</t>
  </si>
  <si>
    <t xml:space="preserve">The routing decision that comes before all of this</t>
  </si>
  <si>
    <t xml:space="preserve">Not every question should be retrieved for. "Hello" needs no documents. "Summarise the entire handbook" is not a retrieval task at all — there is no top-K that means "everything". "How many days of leave do I get compared to sick leave?" needs two retrievals and a comparison. A router — usually one cheap LLM call — classifies the question first and picks the strategy.</t>
  </si>
  <si>
    <t xml:space="preserve">Question type</t>
  </si>
  <si>
    <t xml:space="preserve">Right strategy</t>
  </si>
  <si>
    <t xml:space="preserve">Chit-chat / greeting</t>
  </si>
  <si>
    <t xml:space="preserve">Answer directly. Skip retrieval; it only adds latency and irrelevant context.</t>
  </si>
  <si>
    <t xml:space="preserve">Simple factual lookup</t>
  </si>
  <si>
    <t xml:space="preserve">Standard top-K retrieval. This is the case every tutorial covers.</t>
  </si>
  <si>
    <t xml:space="preserve">Comparison across sections</t>
  </si>
  <si>
    <t xml:space="preserve">Decompose, retrieve separately for each side, then compare.</t>
  </si>
  <si>
    <t xml:space="preserve">Whole-document summary</t>
  </si>
  <si>
    <t xml:space="preserve">Do not retrieve. Use the document's structure (a tree of section summaries is ideal — see sheet 22) or map-reduce over the full text.</t>
  </si>
  <si>
    <t xml:space="preserve">Aggregation: "how many policies mention MFA?"</t>
  </si>
  <si>
    <t xml:space="preserve">Retrieval cannot answer counting questions; top-K is not a COUNT. Use metadata filters or SQL over structured extractions.</t>
  </si>
  <si>
    <t xml:space="preserve">Out of scope</t>
  </si>
  <si>
    <t xml:space="preserve">Refuse early and say so. Retrieving anyway hands the model irrelevant text and invites a confident, sourceless answer.</t>
  </si>
  <si>
    <t xml:space="preserve">A FAILURE THAT LOOKS LIKE SUCCESS — That aggregation row is worth remembering. A user asking "how many sections mention multi-factor authentication?" will get an answer from a top-K RAG system, and it will be wrong, because the system saw 3 chunks and confidently reported on 3. Retrieval systems answer "what does the corpus say about X" and quietly fail at "how much of the corpus is about X". Know which question you are being asked.</t>
  </si>
  <si>
    <t xml:space="preserve">18  ·  STEP 14  —  ASSEMBLING THE CONTEXT</t>
  </si>
  <si>
    <t xml:space="preserve">You have the chunks. Now they must fit, be ordered, and be citable.</t>
  </si>
  <si>
    <t xml:space="preserve">Token budget — live calculator</t>
  </si>
  <si>
    <t xml:space="preserve">Tokens</t>
  </si>
  <si>
    <t xml:space="preserve">Running total</t>
  </si>
  <si>
    <t xml:space="preserve">Note</t>
  </si>
  <si>
    <t xml:space="preserve">Model input context window</t>
  </si>
  <si>
    <t xml:space="preserve">Edit this. The hard ceiling for everything below.</t>
  </si>
  <si>
    <t xml:space="preserve">System prompt + instructions</t>
  </si>
  <si>
    <t xml:space="preserve">Your rules, tone, refusal policy, citation format.</t>
  </si>
  <si>
    <t xml:space="preserve">Conversation history</t>
  </si>
  <si>
    <t xml:space="preserve">Grows every turn. The commonest cause of a prompt that fits on Monday and overflows on Friday.</t>
  </si>
  <si>
    <t xml:space="preserve">Reserved for the answer</t>
  </si>
  <si>
    <t xml:space="preserve">Output tokens share the budget. Forget this and the model gets truncated mid-sentence.</t>
  </si>
  <si>
    <t xml:space="preserve">Words in retrieved chunks</t>
  </si>
  <si>
    <t xml:space="preserve">Live: sums the word counts of exactly the chunks Top-K retrieved on sheet 12.</t>
  </si>
  <si>
    <t xml:space="preserve">Retrieved chunks in TOKENS</t>
  </si>
  <si>
    <t xml:space="preserve">English runs about 1.33 tokens per word. Rough, and good enough for budgeting.</t>
  </si>
  <si>
    <t xml:space="preserve">TOTAL USED</t>
  </si>
  <si>
    <t xml:space="preserve">Everything that must fit inside the window.</t>
  </si>
  <si>
    <t xml:space="preserve">HEADROOM REMAINING</t>
  </si>
  <si>
    <t xml:space="preserve">If this goes negative you must drop chunks, compress them, or shrink history.</t>
  </si>
  <si>
    <t xml:space="preserve">Chunks you could theoretically afford</t>
  </si>
  <si>
    <t xml:space="preserve">Large. Which is exactly the trap — see below.</t>
  </si>
  <si>
    <t xml:space="preserve">INTUITION — That last number is seductive and you should distrust it. Yes, a 128k window could hold hundreds of chunks. No, you should not send them. Every irrelevant chunk is a distractor the model must reason past, tokens you pay for, and latency the user feels. Retrieval quality means sending FEWER, BETTER chunks. If your answer only works at Top-K = 50, your retrieval is broken and you are asking the LLM to do the retrieval for you — at the worst possible price.</t>
  </si>
  <si>
    <t xml:space="preserve">Ordering — position inside the prompt genuinely matters</t>
  </si>
  <si>
    <t xml:space="preserve">Models attend unevenly across a long context: strongest at the beginning, strong at the end, weakest in the middle. This is the well-documented "lost in the middle" effect. If you place your best chunk 7th of 12, you may have retrieved perfectly and still get a poor answer.</t>
  </si>
  <si>
    <t xml:space="preserve">Arrangement</t>
  </si>
  <si>
    <t xml:space="preserve">When to use</t>
  </si>
  <si>
    <t xml:space="preserve">Descending relevance</t>
  </si>
  <si>
    <t xml:space="preserve">Best chunk first, worst last.</t>
  </si>
  <si>
    <t xml:space="preserve">The sane default. Simple and predictable.</t>
  </si>
  <si>
    <t xml:space="preserve">Sandwich / edge-loading</t>
  </si>
  <si>
    <t xml:space="preserve">Best chunk FIRST, second-best LAST, weakest buried in the middle.</t>
  </si>
  <si>
    <t xml:space="preserve">Long contexts with many chunks. Puts your strongest evidence in the two positions attention favours.</t>
  </si>
  <si>
    <t xml:space="preserve">Document order</t>
  </si>
  <si>
    <t xml:space="preserve">Reassemble chunks in the order they appear in the source document.</t>
  </si>
  <si>
    <t xml:space="preserve">When chunks are sequential and narrative — a procedure, a legal argument, a timeline. Reading steps 1, 2, 3 out of order confuses a model exactly as it would confuse you.</t>
  </si>
  <si>
    <t xml:space="preserve">The assembled prompt — what actually reaches the model</t>
  </si>
  <si>
    <t xml:space="preserve">Below is the real artefact. Note four things: every chunk is delimited and numbered so the model can cite it; each carries its source metadata so a citation can be resolved to a page; the instructions come AFTER the context (models follow the most recent instruction more reliably); and the refusal condition is stated explicitly rather than hoped for.</t>
  </si>
  <si>
    <t xml:space="preserve">SYSTEM:
You are the Northwind Robotics policy assistant. Answer using ONLY the numbered context below.
Cite the source of every factual claim as [1], [2] etc.
If the context does not contain the answer, reply exactly: "I could not find that in the policy documents."
Never use knowledge from outside the context, even if you are confident it is correct.
CONTEXT:
[1] (Employee Handbook 2026 · §3.2 Home Office Equipment Allowance · pp. 21-24)
    Each remote employee receives a one-time home office equipment allowance of 60,000 rupees.
    The allowance covers a desk, an ergonomic chair, a monitor, a keyboard and a headset.
[2] (Employee Handbook 2026 · §3.2 Home Office Equipment Allowance · pp. 21-24)
    Within the allowance a desk may cost up to 25,000 rupees and a chair up to 20,000 rupees.
USER QUESTION:
How much can I claim for a home office desk?
INSTRUCTIONS:
Answer in two sentences. Cite every number. If the sources conflict, say so rather than choosing.</t>
  </si>
  <si>
    <t xml:space="preserve">INTUITION — This is the whole of RAG's output: a carefully constructed string. Everything in sheets 04 to 17 existed to decide which two paragraphs go in that box. When people say RAG is "just prompt engineering with extra steps", this is what they are pointing at — and they are half right. The prompt is simple. Choosing what goes in it is the entire discipline.</t>
  </si>
  <si>
    <t xml:space="preserve">19  ·  STEP 15  —  GENERATION, GROUNDING AND CITATIONS</t>
  </si>
  <si>
    <t xml:space="preserve">Retrieval can be perfect and the answer still wrong</t>
  </si>
  <si>
    <t xml:space="preserve">The final step looks trivial — send the prompt, print the reply — and it is where a surprising share of production failures live. The model can ignore your context and answer from its own memory. It can blend the two so smoothly you cannot tell which sentence came from where. It can be handed two contradictory chunks and confidently pick one. It can be handed nothing useful and invent something rather than admit defeat.</t>
  </si>
  <si>
    <t xml:space="preserve">The four generation failures</t>
  </si>
  <si>
    <t xml:space="preserve">Failure</t>
  </si>
  <si>
    <t xml:space="preserve">What it looks like</t>
  </si>
  <si>
    <t xml:space="preserve">Ignoring the context</t>
  </si>
  <si>
    <t xml:space="preserve">The model answers from parametric memory. Often plausible, occasionally right, always unverifiable — and it will happily contradict a document it was just handed.</t>
  </si>
  <si>
    <t xml:space="preserve">Say ONLY in the system prompt. Require citations for every claim. Verify post-hoc that cited spans exist.</t>
  </si>
  <si>
    <t xml:space="preserve">Not refusing</t>
  </si>
  <si>
    <t xml:space="preserve">Context is irrelevant; the model answers anyway rather than saying it does not know. This is the single most damaging RAG failure, because a confident wrong answer is worse than no answer.</t>
  </si>
  <si>
    <t xml:space="preserve">Give an EXACT refusal string to output. Show it a refusal example. Consider a relevance gate before generating: if the top score is below a threshold, do not call the model at all.</t>
  </si>
  <si>
    <t xml:space="preserve">Fabricated citations</t>
  </si>
  <si>
    <t xml:space="preserve">The answer cites [3] when only two chunks were supplied, or attributes a real sentence to the wrong source.</t>
  </si>
  <si>
    <t xml:space="preserve">Programmatically validate every citation marker against the chunks you actually sent. Reject and retry on mismatch — this is a cheap, deterministic check that catches a lot.</t>
  </si>
  <si>
    <t xml:space="preserve">Silent conflict resolution</t>
  </si>
  <si>
    <t xml:space="preserve">Two chunks disagree (an old policy and its replacement) and the model picks one without mentioning the other.</t>
  </si>
  <si>
    <t xml:space="preserve">Instruct it to surface conflicts explicitly. Attach dates and versions as metadata so recency can be reasoned about rather than guessed.</t>
  </si>
  <si>
    <t xml:space="preserve">The same question, three ways — grade these yourself</t>
  </si>
  <si>
    <t xml:space="preserve">Grade</t>
  </si>
  <si>
    <t xml:space="preserve">"You can claim up to 60,000 rupees for your home office setup."</t>
  </si>
  <si>
    <t xml:space="preserve">UNGROUNDED AND WRONG. No citation. 60,000 is the total allowance across five items, not the desk limit. This is what you get from top-1 retrieval plus a model that was not told to cite.</t>
  </si>
  <si>
    <t xml:space="preserve">"Based on the Employee Handbook, the home office allowance is 60,000 rupees [1], and within that a desk may cost up to 25,000 rupees [2]."</t>
  </si>
  <si>
    <t xml:space="preserve">GOOD. Correct, cited, both the envelope and the specific limit. Every number traceable to a page.</t>
  </si>
  <si>
    <t xml:space="preserve">"I could not find that in the policy documents."</t>
  </si>
  <si>
    <t xml:space="preserve">CORRECT BEHAVIOUR when retrieval failed — and this is the answer teams forget to engineer. A system that never says this is not being careful; it is being lucky, and you will not know when the luck runs out. Test your refusal path deliberately: ask something the corpus cannot answer and check what comes back.</t>
  </si>
  <si>
    <t xml:space="preserve">Anatomy of a good RAG system prompt</t>
  </si>
  <si>
    <t xml:space="preserve">Why</t>
  </si>
  <si>
    <t xml:space="preserve">Role and scope</t>
  </si>
  <si>
    <t xml:space="preserve">"You are the Northwind policy assistant" — narrows the model's sense of what is in bounds.</t>
  </si>
  <si>
    <t xml:space="preserve">ONLY the context</t>
  </si>
  <si>
    <t xml:space="preserve">The strongest available lever against parametric leakage. State it flatly.</t>
  </si>
  <si>
    <t xml:space="preserve">Citation format</t>
  </si>
  <si>
    <t xml:space="preserve">Specify it exactly, e.g. [1]. Vague requests produce inconsistent, unparseable output.</t>
  </si>
  <si>
    <t xml:space="preserve">An exact refusal string</t>
  </si>
  <si>
    <t xml:space="preserve">Give the literal sentence. "Say you don't know" is a suggestion; a fixed string is a contract you can test for programmatically.</t>
  </si>
  <si>
    <t xml:space="preserve">Conflict instruction</t>
  </si>
  <si>
    <t xml:space="preserve">"If sources disagree, state both." Otherwise it silently picks.</t>
  </si>
  <si>
    <t xml:space="preserve">Output shape</t>
  </si>
  <si>
    <t xml:space="preserve">Length, format, whether to use lists. Cheap to specify, saves post-processing.</t>
  </si>
  <si>
    <t xml:space="preserve">Context BEFORE instructions</t>
  </si>
  <si>
    <t xml:space="preserve">Instructions placed after the retrieved text are followed more reliably — the same recency effect from sheet 18.</t>
  </si>
  <si>
    <t xml:space="preserve">THE ONE TO REMEMBER — A hard-won lesson: a RAG system that cannot say "I don't know" is not a retrieval system, it is a confabulation engine with a bibliography. Engineer the refusal path first and test it as rigorously as the happy path. Your users will forgive not knowing. They will not forgive being told the wrong number with a citation attached.</t>
  </si>
  <si>
    <t xml:space="preserve">20  ·  EVERY WAY VECTOR RAG FAILS</t>
  </si>
  <si>
    <t xml:space="preserve">Diagnostic table. Come back to this sheet when something is wrong and you do not know why.</t>
  </si>
  <si>
    <t xml:space="preserve">Debugging RAG is hard because there is one symptom — "the answer was bad" — and eleven possible causes spread across two phases. The discipline is to isolate: check RETRIEVAL first (was the right chunk in the top-K at all?), and only then look at generation. If the right chunk never arrived, no amount of prompt engineering will save you.</t>
  </si>
  <si>
    <t xml:space="preserve">Symptom</t>
  </si>
  <si>
    <t xml:space="preserve">Likely cause</t>
  </si>
  <si>
    <t xml:space="preserve">How to confirm it</t>
  </si>
  <si>
    <t xml:space="preserve">Right document, wrong part of it</t>
  </si>
  <si>
    <t xml:space="preserve">Chunks too large; the vector averages several topics.</t>
  </si>
  <si>
    <t xml:space="preserve">Read the retrieved chunk. Is the answer in it, buried among unrelated text?</t>
  </si>
  <si>
    <t xml:space="preserve">Smaller chunks, or parent-child retrieval.</t>
  </si>
  <si>
    <t xml:space="preserve">Chunking</t>
  </si>
  <si>
    <t xml:space="preserve">Answer is half there</t>
  </si>
  <si>
    <t xml:space="preserve">Chunking split one fact across two chunks (our C10/C11 case).</t>
  </si>
  <si>
    <t xml:space="preserve">Find the answer in the source and check whether it straddles a chunk boundary.</t>
  </si>
  <si>
    <t xml:space="preserve">Overlap; sentence- or structure-aware chunking; retrieve neighbouring chunks alongside each hit.</t>
  </si>
  <si>
    <t xml:space="preserve">Retrieved text looks right but is not</t>
  </si>
  <si>
    <t xml:space="preserve">Similarity ≠ relevance. Often negation or an exclusion clause (our C08 case).</t>
  </si>
  <si>
    <t xml:space="preserve">Read the chunk as a human. Does it actually answer, or does it merely discuss the same nouns?</t>
  </si>
  <si>
    <t xml:space="preserve">Cross-encoder reranking. This is the failure reranking most reliably fixes.</t>
  </si>
  <si>
    <t xml:space="preserve">Retrieval</t>
  </si>
  <si>
    <t xml:space="preserve">Exact term or ID not found</t>
  </si>
  <si>
    <t xml:space="preserve">Dense embeddings blur rare literal strings.</t>
  </si>
  <si>
    <t xml:space="preserve">Search for the literal string with grep. If it exists in the corpus but not the results, this is it.</t>
  </si>
  <si>
    <t xml:space="preserve">Add BM25 and fuse (sheets 14-15).</t>
  </si>
  <si>
    <t xml:space="preserve">Nothing relevant returned at all</t>
  </si>
  <si>
    <t xml:space="preserve">Vocabulary mismatch between how users ask and how documents are written.</t>
  </si>
  <si>
    <t xml:space="preserve">Compare the user's words with the document's words. "Time off" versus "annual leave".</t>
  </si>
  <si>
    <t xml:space="preserve">Query expansion, HyDE, or better embeddings. Log real user queries and read them — they will surprise you.</t>
  </si>
  <si>
    <t xml:space="preserve">Query</t>
  </si>
  <si>
    <t xml:space="preserve">Good chunk exists but never surfaces</t>
  </si>
  <si>
    <t xml:space="preserve">ANN index recall gap.</t>
  </si>
  <si>
    <t xml:space="preserve">Re-run the same query with exact/flat search. If it appears now, the index was the problem.</t>
  </si>
  <si>
    <t xml:space="preserve">Raise efSearch or nprobe; rebuild the index.</t>
  </si>
  <si>
    <t xml:space="preserve">Results are all near-duplicates</t>
  </si>
  <si>
    <t xml:space="preserve">Corpus contains repeated boilerplate; top-K fills with clones.</t>
  </si>
  <si>
    <t xml:space="preserve">Look at the top 10. Are they the same text from different documents?</t>
  </si>
  <si>
    <t xml:space="preserve">Deduplicate at index time; apply MMR (maximal marginal relevance) for diversity.</t>
  </si>
  <si>
    <t xml:space="preserve">Indexing</t>
  </si>
  <si>
    <t xml:space="preserve">Answer contradicts the document</t>
  </si>
  <si>
    <t xml:space="preserve">Model ignored the context and used parametric memory.</t>
  </si>
  <si>
    <t xml:space="preserve">Ask it to quote the sentence supporting its claim. If it cannot, it invented it.</t>
  </si>
  <si>
    <t xml:space="preserve">Stronger ONLY-instruction; require citations; validate citations programmatically.</t>
  </si>
  <si>
    <t xml:space="preserve">Generation</t>
  </si>
  <si>
    <t xml:space="preserve">Confident answer to an unanswerable question</t>
  </si>
  <si>
    <t xml:space="preserve">No refusal path was engineered.</t>
  </si>
  <si>
    <t xml:space="preserve">Ask something the corpus definitively cannot answer and read what comes back.</t>
  </si>
  <si>
    <t xml:space="preserve">Exact refusal string; a relevance-score gate before generating.</t>
  </si>
  <si>
    <t xml:space="preserve">Was right last month, wrong now</t>
  </si>
  <si>
    <t xml:space="preserve">Stale index. Documents changed; embeddings did not.</t>
  </si>
  <si>
    <t xml:space="preserve">Compare the source document's modified date with the index timestamp.</t>
  </si>
  <si>
    <t xml:space="preserve">Re-index on change. Track document versions.</t>
  </si>
  <si>
    <t xml:space="preserve">Ops</t>
  </si>
  <si>
    <t xml:space="preserve">Works in testing, fails for real users</t>
  </si>
  <si>
    <t xml:space="preserve">Your test queries are written by people who know the corpus.</t>
  </si>
  <si>
    <t xml:space="preserve">Collect actual production queries and evaluate on those.</t>
  </si>
  <si>
    <t xml:space="preserve">Build the golden set from real logs, never from imagination (sheet 26).</t>
  </si>
  <si>
    <t xml:space="preserve">Eval</t>
  </si>
  <si>
    <t xml:space="preserve">THE HANDOVER — Notice how many of these trace back to a single decision — chunking — made in one line of code, offline, long before any question was asked, and effectively unfixable afterwards by retrieval or prompting. That is the observation the next four sheets are built on. What if you simply did not chunk?</t>
  </si>
  <si>
    <t xml:space="preserve">21  ·  VECTORLESS RAG  —  THE IDEA</t>
  </si>
  <si>
    <t xml:space="preserve">Similarity is not relevance. Relevance requires reasoning.</t>
  </si>
  <si>
    <t xml:space="preserve">Start from the failure you have already seen</t>
  </si>
  <si>
    <t xml:space="preserve">On sheet 12 you watched two things go wrong, and neither was a bug. Chunking cut section 3.2 in half, so the answer arrived incomplete. And C08 — the one section in the corpus that explicitly says home office equipment is NOT claimed this way — scored second, because it looks more like the question than the section that answers it. Both failures follow from the same two assumptions, which vector RAG treats as facts of nature:</t>
  </si>
  <si>
    <t xml:space="preserve">Assumption</t>
  </si>
  <si>
    <t xml:space="preserve">Is it actually true?</t>
  </si>
  <si>
    <t xml:space="preserve">Documents should be split into chunks.</t>
  </si>
  <si>
    <t xml:space="preserve">No. It is a workaround for the input limit of embedding models. A human reading the handbook would never tear section 3.2 in half, and nothing about the document asked for it.</t>
  </si>
  <si>
    <t xml:space="preserve">Semantic similarity equals relevance.</t>
  </si>
  <si>
    <t xml:space="preserve">No. They correlate, often strongly — and then diverge exactly where it matters most: negation, exclusions, conditions, cross-references, anything requiring a step of reasoning rather than a step of matching.</t>
  </si>
  <si>
    <t xml:space="preserve">INTUITION — PageIndex, from Vectify AI, is the best-known implementation of the alternative: drop both assumptions. Keep documents whole, organised as a tree that mirrors their own table of contents, and let an LLM REASON its way to the right section — the way a lawyer opens a contract at the definitions clause, not by measuring the angle between two vectors. The project describes itself as vectorless, reasoning-based RAG, and says it was inspired by AlphaGo: retrieval as tree search rather than nearest-neighbour lookup.  Source: github.com/VectifyAI/PageIndex (MIT).</t>
  </si>
  <si>
    <t xml:space="preserve">What is removed, and what is added</t>
  </si>
  <si>
    <t xml:space="preserve">Removed</t>
  </si>
  <si>
    <t xml:space="preserve">Consequence</t>
  </si>
  <si>
    <t xml:space="preserve">Added</t>
  </si>
  <si>
    <t xml:space="preserve">Sections stay whole. The C10/C11 split cannot happen. No chunk-size tuning, no overlap parameter, no boundary that cuts a sentence in half.</t>
  </si>
  <si>
    <t xml:space="preserve">A tree index</t>
  </si>
  <si>
    <t xml:space="preserve">You need documents with real structure — or an LLM pass to infer one.</t>
  </si>
  <si>
    <t xml:space="preserve">Embedding models</t>
  </si>
  <si>
    <t xml:space="preserve">No dimension count to choose, no asymmetry problem, no re-embedding the corpus when a model is deprecated, no cost per token at index time.</t>
  </si>
  <si>
    <t xml:space="preserve">LLM calls at query time</t>
  </si>
  <si>
    <t xml:space="preserve">Retrieval now costs tokens and seconds, not microseconds. This is the real price.</t>
  </si>
  <si>
    <t xml:space="preserve">The vector database</t>
  </si>
  <si>
    <t xml:space="preserve">One less system to run, scale, back up, secure and pay for.</t>
  </si>
  <si>
    <t xml:space="preserve">Node summaries</t>
  </si>
  <si>
    <t xml:space="preserve">One LLM call per node at index time, and their quality caps retrieval quality.</t>
  </si>
  <si>
    <t xml:space="preserve">Top-K and thresholds</t>
  </si>
  <si>
    <t xml:space="preserve">No arbitrary cutoff deciding how much context is enough.</t>
  </si>
  <si>
    <t xml:space="preserve">A traversal policy</t>
  </si>
  <si>
    <t xml:space="preserve">Depth limits, beam width, and a stopping rule now need thought.</t>
  </si>
  <si>
    <t xml:space="preserve">Approximate search</t>
  </si>
  <si>
    <t xml:space="preserve">No silent recall gap from an ANN index.</t>
  </si>
  <si>
    <t xml:space="preserve">Dependence on reasoning</t>
  </si>
  <si>
    <t xml:space="preserve">A weak model navigates badly. Retrieval quality is now bounded by model quality.</t>
  </si>
  <si>
    <t xml:space="preserve">The mental model</t>
  </si>
  <si>
    <t xml:space="preserve">Vector search asks: WHICH TEXT LOOKS MOST LIKE THIS QUESTION? It is a geometry problem, answered in microseconds, at any scale, without understanding anything.
PageIndex asks: WHERE WOULD AN EXPERT LOOK, AND WHY? It is a reasoning problem, answered in seconds, over one document at a time, with an explanation attached.
Those are different questions. Neither is universally better. But notice that the second one is the question you would actually ask a colleague — and that when the two disagree, it is usually the second one that is right.</t>
  </si>
  <si>
    <t xml:space="preserve">EXPLAINABILITY — Traceability is the underrated half of this. A vector search returns "chunk 4,127, score 0.83". You cannot ask it why. A tree search returns "Handbook &gt; 3. Remote and Hybrid Work &gt; 3.2 Home Office Equipment Allowance, pages 21-24", along with the reasoning at each hop — including why it did NOT open section 2.3. In a regulated setting, that difference is not a nicety. It is the difference between a system you can deploy and one you cannot.</t>
  </si>
  <si>
    <t xml:space="preserve">Honest limitations — read before you get excited</t>
  </si>
  <si>
    <t xml:space="preserve">Limitation</t>
  </si>
  <si>
    <t xml:space="preserve">Detail</t>
  </si>
  <si>
    <t xml:space="preserve">Latency and cost per query</t>
  </si>
  <si>
    <t xml:space="preserve">Each hop is a sequential LLM call. Where vector search takes milliseconds, tree search takes seconds and costs tokens on every question.</t>
  </si>
  <si>
    <t xml:space="preserve">Needs structure</t>
  </si>
  <si>
    <t xml:space="preserve">It shines on long professional documents with real hierarchy: filings, contracts, manuals, regulations, textbooks. On a pile of unstructured chat logs, support tickets or short notes, there is no tree worth building and no advantage to be had.</t>
  </si>
  <si>
    <t xml:space="preserve">Scale is a different problem</t>
  </si>
  <si>
    <t xml:space="preserve">The base technique reasons within a document. Searching millions of documents needs a layer above it — PageIndex ships a file-level tree index for this, and a common production pattern is vector search to shortlist documents, then tree search inside the winners.</t>
  </si>
  <si>
    <t xml:space="preserve">Bounded by the model</t>
  </si>
  <si>
    <t xml:space="preserve">A cheap model navigating a badly-summarised tree retrieves badly, and does so with confident-looking reasoning attached.</t>
  </si>
  <si>
    <t xml:space="preserve">Benchmarks are early</t>
  </si>
  <si>
    <t xml:space="preserve">PageIndex reports 98.7% on FinanceBench, a financial-document QA benchmark, which is a strong result on exactly the document type the approach targets. Treat single-benchmark numbers from any vendor as a reason to run your own evaluation (sheet 26), not as a reason to skip it.</t>
  </si>
  <si>
    <t xml:space="preserve">22  ·  VECTORLESS STEP 1  —  BUILD THE TREE INDEX</t>
  </si>
  <si>
    <t xml:space="preserve">The offline phase. One tree per document. No embeddings anywhere.</t>
  </si>
  <si>
    <t xml:space="preserve">Indexing has three moves: recover the document's structure, emit it as a tree of nodes, and write a summary for each node. That is the entire index. Compare it with the vector pipeline's parse → chunk → embed → store, and notice what is absent — there is no model whose deprecation forces a rebuild, and no parameter like chunk size to get wrong.</t>
  </si>
  <si>
    <t xml:space="preserve">The node schema</t>
  </si>
  <si>
    <t xml:space="preserve">PageIndex emits JSON with this shape. Every field earns its place: node_id gives the LLM something unambiguous to return, start_index / end_index let a citation resolve to real pages, summary is the navigation signal, and nodes nests the children.</t>
  </si>
  <si>
    <t xml:space="preserve">{
  "title": "Northwind Robotics - Employee Handbook 2026",
  "node_id": "0001",
  "start_index": 1,
  "end_index": 24,
  "summary": "Company-wide handbook covering time off, pay and expenses, and remote working arrangements.",
  "nodes": [
    {
      "title": "3. Remote and Hybrid Work",
      "node_id": "0010",
      "start_index": 18,
      "end_index": 24,
      "summary": "Who may work remotely, how arrangements are approved, and the equipment allowance for a home workspace.",
      "nodes": [
        { "title": "3.1 Eligibility for Remote Work",        "node_id": "0011", "start_index": 18, "end_index": 20, "summary": "..." },
        { "title": "3.2 Home Office Equipment Allowance",    "node_id": "0012", "start_index": 21, "end_index": 24, "summary": "..." }
      ]
    }
  ]
}</t>
  </si>
  <si>
    <t xml:space="preserve">Our corpus as a tree — 22 nodes across 2 documents</t>
  </si>
  <si>
    <t xml:space="preserve">node_id</t>
  </si>
  <si>
    <t xml:space="preserve">Level</t>
  </si>
  <si>
    <t xml:space="preserve">Leaf?</t>
  </si>
  <si>
    <t xml:space="preserve">Summary  (this is what the LLM reads while navigating)</t>
  </si>
  <si>
    <t xml:space="preserve">0001</t>
  </si>
  <si>
    <t xml:space="preserve">1-24</t>
  </si>
  <si>
    <t xml:space="preserve">Northwind Robotics — Employee Handbook 2026</t>
  </si>
  <si>
    <t xml:space="preserve">branch</t>
  </si>
  <si>
    <t xml:space="preserve">Company-wide handbook covering time off, pay and expenses, and remote working arrangements for all staff.</t>
  </si>
  <si>
    <t xml:space="preserve">0002</t>
  </si>
  <si>
    <t xml:space="preserve">3-9</t>
  </si>
  <si>
    <t xml:space="preserve">    1. Leave and Time Off</t>
  </si>
  <si>
    <t xml:space="preserve">All forms of paid and unpaid time away from work: annual leave, sick leave and parental leave, with how to request each.</t>
  </si>
  <si>
    <t xml:space="preserve">0003</t>
  </si>
  <si>
    <t xml:space="preserve">        1.1 Annual Leave</t>
  </si>
  <si>
    <t xml:space="preserve">leaf</t>
  </si>
  <si>
    <t xml:space="preserve">Annual leave entitlement of 24 days, monthly accrual, the 10-day notice request process, carry-over limits and public holidays.</t>
  </si>
  <si>
    <t xml:space="preserve">0004</t>
  </si>
  <si>
    <t xml:space="preserve">        1.2 Sick Leave</t>
  </si>
  <si>
    <t xml:space="preserve">Paid sick leave entitlement, when a medical certificate is needed, and how to notify your manager on the first day.</t>
  </si>
  <si>
    <t xml:space="preserve">0005</t>
  </si>
  <si>
    <t xml:space="preserve">        1.3 Parental Leave</t>
  </si>
  <si>
    <t xml:space="preserve">Parental leave for primary and secondary caregivers, notice required, and its interaction with annual leave accrual.</t>
  </si>
  <si>
    <t xml:space="preserve">0006</t>
  </si>
  <si>
    <t xml:space="preserve">10-17</t>
  </si>
  <si>
    <t xml:space="preserve">    2. Pay and Expenses</t>
  </si>
  <si>
    <t xml:space="preserve">How salary is set and reviewed, how the annual bonus works, and the process for claiming reimbursement of work expenses.</t>
  </si>
  <si>
    <t xml:space="preserve">0007</t>
  </si>
  <si>
    <t xml:space="preserve">        2.1 Salary Bands and Reviews</t>
  </si>
  <si>
    <t xml:space="preserve">Published salary bands per role level, the April pay review cycle, and approvals needed to move between bands.</t>
  </si>
  <si>
    <t xml:space="preserve">0008</t>
  </si>
  <si>
    <t xml:space="preserve">        2.2 Annual Bonus</t>
  </si>
  <si>
    <t xml:space="preserve">Size and funding of the bonus pool, payment timing, and eligibility rules for employees who join mid-year.</t>
  </si>
  <si>
    <t xml:space="preserve">0009</t>
  </si>
  <si>
    <t xml:space="preserve">        2.3 Expense Reimbursement</t>
  </si>
  <si>
    <t xml:space="preserve">How to claim reimbursement for work expenses with receipts and approval limits. Explicitly EXCLUDES home office equipment, which is covered by the allowance in section 3.2.</t>
  </si>
  <si>
    <t xml:space="preserve">0010</t>
  </si>
  <si>
    <t xml:space="preserve">18-24</t>
  </si>
  <si>
    <t xml:space="preserve">    3. Remote and Hybrid Work</t>
  </si>
  <si>
    <t xml:space="preserve">Who may work remotely, how arrangements are approved, and the equipment allowance provided for a home workspace.</t>
  </si>
  <si>
    <t xml:space="preserve">0011</t>
  </si>
  <si>
    <t xml:space="preserve">        3.1 Eligibility for Remote Work</t>
  </si>
  <si>
    <t xml:space="preserve">Number of remote days allowed, approvals for fully remote roles, and the requirement to declare a home working location.</t>
  </si>
  <si>
    <t xml:space="preserve">0012</t>
  </si>
  <si>
    <t xml:space="preserve">        3.2 Home Office Equipment Allowance</t>
  </si>
  <si>
    <t xml:space="preserve">The one-time home office allowance: total amount, which items it covers, per-item limits for desk and chair, how to order, and ownership of the equipment.</t>
  </si>
  <si>
    <t xml:space="preserve">0013</t>
  </si>
  <si>
    <t xml:space="preserve">1-14</t>
  </si>
  <si>
    <t xml:space="preserve">Northwind Robotics — IT Security Policy v4</t>
  </si>
  <si>
    <t xml:space="preserve">Security rules for company devices, account access, and what to do when something goes wrong.</t>
  </si>
  <si>
    <t xml:space="preserve">0014</t>
  </si>
  <si>
    <t xml:space="preserve">2-6</t>
  </si>
  <si>
    <t xml:space="preserve">    1. Device Security</t>
  </si>
  <si>
    <t xml:space="preserve">Baseline protections required on every company device and rules about which software may be installed.</t>
  </si>
  <si>
    <t xml:space="preserve">0015</t>
  </si>
  <si>
    <t xml:space="preserve">        1.1 Laptop Encryption and Locking</t>
  </si>
  <si>
    <t xml:space="preserve">Full disk encryption, automatic screen locking, and the prohibition on storing customer data locally.</t>
  </si>
  <si>
    <t xml:space="preserve">0016</t>
  </si>
  <si>
    <t xml:space="preserve">        1.2 Approved Software</t>
  </si>
  <si>
    <t xml:space="preserve">The approved software catalogue, how to request new software, and the ban on personal software and extensions.</t>
  </si>
  <si>
    <t xml:space="preserve">0017</t>
  </si>
  <si>
    <t xml:space="preserve">7-10</t>
  </si>
  <si>
    <t xml:space="preserve">    2. Access Control</t>
  </si>
  <si>
    <t xml:space="preserve">How identity and account access are controlled, covering credentials and the treatment of shared accounts.</t>
  </si>
  <si>
    <t xml:space="preserve">0018</t>
  </si>
  <si>
    <t xml:space="preserve">        2.1 Passwords and MFA</t>
  </si>
  <si>
    <t xml:space="preserve">Password length rules, mandatory multi-factor authentication, and reporting a suspected credential compromise.</t>
  </si>
  <si>
    <t xml:space="preserve">0019</t>
  </si>
  <si>
    <t xml:space="preserve">        2.2 Shared Accounts</t>
  </si>
  <si>
    <t xml:space="preserve">Prohibition on shared logins, the exception for owned service accounts, and the 90-day review cycle.</t>
  </si>
  <si>
    <t xml:space="preserve">0020</t>
  </si>
  <si>
    <t xml:space="preserve">11-14</t>
  </si>
  <si>
    <t xml:space="preserve">    3. Incident Response</t>
  </si>
  <si>
    <t xml:space="preserve">What to do when a device is lost or compromised, or when a phishing attempt is received.</t>
  </si>
  <si>
    <t xml:space="preserve">0021</t>
  </si>
  <si>
    <t xml:space="preserve">        3.1 Reporting a Lost or Stolen Device</t>
  </si>
  <si>
    <t xml:space="preserve">The one-hour reporting deadline, remote wipe, credential reset after a theft, data exposure review, and replacement hardware timing.</t>
  </si>
  <si>
    <t xml:space="preserve">0022</t>
  </si>
  <si>
    <t xml:space="preserve">        3.2 Reporting a Phishing Attempt</t>
  </si>
  <si>
    <t xml:space="preserve">How to forward and delete a suspicious email, what not to click, and what to do if you already clicked.</t>
  </si>
  <si>
    <t xml:space="preserve">THE CRITICAL CELL — Read the summary of node 0009 (Expense Reimbursement). It says, in plain language, that the section EXCLUDES home office equipment and points to 3.2. That single sentence is what lets the retriever avoid the trap C08 walked straight into on sheet 12. A summary can express a negation. A vector cannot. That is the whole difference, in one cell.</t>
  </si>
  <si>
    <t xml:space="preserve">How the tree gets built when there is no table of contents</t>
  </si>
  <si>
    <t xml:space="preserve">Situation</t>
  </si>
  <si>
    <t xml:space="preserve">Document has a real TOC</t>
  </si>
  <si>
    <t xml:space="preserve">Parse it, match entries to page numbers, done. Cheapest and most reliable path.</t>
  </si>
  <si>
    <t xml:space="preserve">Has headings but no TOC</t>
  </si>
  <si>
    <t xml:space="preserve">Detect heading levels from font size, numbering patterns (1., 1.1, 1.1.1) or Markdown depth, and build the hierarchy from those.</t>
  </si>
  <si>
    <t xml:space="preserve">No structure at all</t>
  </si>
  <si>
    <t xml:space="preserve">An LLM reads the document in windows and proposes section boundaries and titles. More expensive, and quality varies. PageIndex exposes controls here — max pages per node, max tokens per node — so nodes stay a sensible size.</t>
  </si>
  <si>
    <t xml:space="preserve">Very large document</t>
  </si>
  <si>
    <t xml:space="preserve">Nodes get split by a token budget so that any single node still fits comfortably in the context window when it is finally read.</t>
  </si>
  <si>
    <t xml:space="preserve">Speed matters at index time</t>
  </si>
  <si>
    <t xml:space="preserve">PageIndex Flash derives structure heuristically with no LLM call, using the model only for summaries — seconds rather than minutes per document.</t>
  </si>
  <si>
    <t xml:space="preserve">The summary is the whole ballgame</t>
  </si>
  <si>
    <t xml:space="preserve">In vector RAG, retrieval quality is capped by your embedding model. Here it is capped by your node summaries — they are the only thing the navigator sees before deciding whether to open a section. A summary that says "discusses various company policies" is worthless. One that says "per-item limits for desk and chair; excludes items claimable as expenses" is decisive.</t>
  </si>
  <si>
    <t xml:space="preserve">Bad summary</t>
  </si>
  <si>
    <t xml:space="preserve">Good summary</t>
  </si>
  <si>
    <t xml:space="preserve">"This section covers expense reimbursement."</t>
  </si>
  <si>
    <t xml:space="preserve">"How to claim reimbursement for work expenses with receipts and approval limits. Explicitly EXCLUDES home office equipment, which is covered by the allowance in section 3.2."</t>
  </si>
  <si>
    <t xml:space="preserve">The good one states scope, key mechanics, what it does NOT cover, and where to go instead. It actively routes the navigator away. Restating the title tells the navigator nothing it did not already know.</t>
  </si>
  <si>
    <t xml:space="preserve">PRACTICAL — So write the summariser prompt with retrieval in mind, not readability: ask it to state what questions this section can answer, what it explicitly does not cover, and which other sections it defers to. You are not writing a blurb. You are writing signposts for a navigator who will never see the room.</t>
  </si>
  <si>
    <t xml:space="preserve">23  ·  VECTORLESS STEP 2  —  TREE SEARCH, HOP BY HOP</t>
  </si>
  <si>
    <t xml:space="preserve">Query: "How much can I claim for a home office desk?"  —  the same question sheet 12 got wrong</t>
  </si>
  <si>
    <t xml:space="preserve">No vectors are computed. Instead the LLM is placed at the root of the tree, shown the children's titles and summaries, and asked which to open and why. Then it is placed at that child and asked again. Follow the reasoning column closely — that column is the entire technique.</t>
  </si>
  <si>
    <t xml:space="preserve">The prompt sent at every hop</t>
  </si>
  <si>
    <t xml:space="preserve">You are navigating a document to find sections relevant to a user's question.
QUESTION: How much can I claim for a home office desk?
CURRENT NODE: 0001 - Northwind Robotics Employee Handbook 2026 (pages 1-24)
AVAILABLE CHILD NODES:
  0002  "1. Leave and Time Off" (pp. 3-9)
        All forms of paid and unpaid time away from work: annual, sick and parental leave.
  0006  "2. Pay and Expenses" (pp. 10-17)
        How salary is set and reviewed, how the annual bonus works, and the process for
        claiming reimbursement of work expenses.
  0010  "3. Remote and Hybrid Work" (pp. 18-24)
        Who may work remotely, how arrangements are approved, and the equipment allowance
        provided for a home workspace.
Think step by step. Which node(s) should be opened to answer the question?
Return JSON: {"thinking": "...", "node_list": ["..."]}</t>
  </si>
  <si>
    <t xml:space="preserve">The traversal</t>
  </si>
  <si>
    <t xml:space="preserve">Hop</t>
  </si>
  <si>
    <t xml:space="preserve">Node in focus</t>
  </si>
  <si>
    <t xml:space="preserve">Options the LLM is shown</t>
  </si>
  <si>
    <t xml:space="preserve">The LLM's reasoning</t>
  </si>
  <si>
    <t xml:space="preserve">Decision</t>
  </si>
  <si>
    <t xml:space="preserve">What just happened</t>
  </si>
  <si>
    <t xml:space="preserve">0</t>
  </si>
  <si>
    <t xml:space="preserve">ROOT (corpus)</t>
  </si>
  <si>
    <t xml:space="preserve">0001 Employee Handbook  ·  0013 IT Security Policy</t>
  </si>
  <si>
    <t xml:space="preserve">The question is about claiming money for furniture. That is an HR and benefits matter, not a security matter. The IT Security Policy has no plausible bearing on an equipment allowance.</t>
  </si>
  <si>
    <t xml:space="preserve">→ 0001</t>
  </si>
  <si>
    <t xml:space="preserve">Half the corpus eliminated in one call, for a stated reason. Vector search never eliminates anything; it scores everything and hopes the ranking sorts it out.</t>
  </si>
  <si>
    <t xml:space="preserve">0001 Handbook</t>
  </si>
  <si>
    <t xml:space="preserve">0002 Leave  ·  0006 Pay and Expenses  ·  0010 Remote and Hybrid Work</t>
  </si>
  <si>
    <t xml:space="preserve">The word 'claim' points to section 2, Pay and Expenses. But the subject is home office equipment, and section 3's summary explicitly mentions an equipment allowance for a home workspace. Section 2 is about reimbursing work expenses generally. I will open 3 as the primary branch and keep 2 as a secondary candidate, since 'claim' is a real signal I should not ignore.</t>
  </si>
  <si>
    <t xml:space="preserve">→ 0010  (keep 0006)</t>
  </si>
  <si>
    <t xml:space="preserve">Note the LLM handles a genuinely ambiguous case by holding TWO hypotheses rather than committing. This is beam search, and it is where reasoning beats a single similarity score.</t>
  </si>
  <si>
    <t xml:space="preserve">2a</t>
  </si>
  <si>
    <t xml:space="preserve">0010 Remote Work</t>
  </si>
  <si>
    <t xml:space="preserve">0011 Eligibility for Remote Work  ·  0012 Home Office Equipment Allowance</t>
  </si>
  <si>
    <t xml:space="preserve">0012 is named exactly for the subject of the question and its summary promises per-item limits for desk and chair. That is precisely what was asked. 0011 is about who may work remotely and is irrelevant here.</t>
  </si>
  <si>
    <t xml:space="preserve">→ 0012  ✓ LEAF</t>
  </si>
  <si>
    <t xml:space="preserve">Arrived. The target is a leaf node, so there is nothing further to open.</t>
  </si>
  <si>
    <t xml:space="preserve">2b</t>
  </si>
  <si>
    <t xml:space="preserve">0006 Pay and Expenses</t>
  </si>
  <si>
    <t xml:space="preserve">0007 Salary Bands  ·  0008 Annual Bonus  ·  0009 Expense Reimbursement</t>
  </si>
  <si>
    <t xml:space="preserve">0009 is the only plausible child. But its summary states that it EXPLICITLY EXCLUDES home office equipment and directs the reader to section 3.2. So this branch does not contain the answer, and it confirms 3.2 is correct. Pruning.</t>
  </si>
  <si>
    <t xml:space="preserve">✗ PRUNE</t>
  </si>
  <si>
    <t xml:space="preserve">THE MOMENT THAT MATTERS. On sheet 12 this exact section ranked SECOND. Here it is read, understood as an exclusion, and used as positive evidence for the other branch. The word NOT finally did some work.</t>
  </si>
  <si>
    <t xml:space="preserve">0012 (leaf reached)</t>
  </si>
  <si>
    <t xml:space="preserve">— no children —</t>
  </si>
  <si>
    <t xml:space="preserve">Both branches now agree the answer is in 3.2. Retrieve the full text of node 0012, pages 21-24.</t>
  </si>
  <si>
    <t xml:space="preserve">► RETURN 0012</t>
  </si>
  <si>
    <t xml:space="preserve">Returns the WHOLE section — which contains both the 60,000 total and the 25,000 desk limit, because nothing ever split them.</t>
  </si>
  <si>
    <t xml:space="preserve">What comes back</t>
  </si>
  <si>
    <t xml:space="preserve">{
  "retrieved_nodes": [
    { "node_id": "0012",
      "title": "3.2 Home Office Equipment Allowance",
      "path": "Employee Handbook 2026 &gt; 3. Remote and Hybrid Work &gt; 3.2 Home Office Equipment Allowance",
      "pages": "21-24",
      "text": "Each remote employee receives a one-time home office equipment allowance of 60,000 rupees.
               The allowance covers a desk, an ergonomic chair, a monitor, a keyboard and a headset.
               It refreshes every 4 years. Order home office equipment through the internal catalogue;
               do not pay for it yourself. Within the allowance a desk may cost up to 25,000 rupees and
               a chair up to 20,000 rupees. Equipment remains company property and is returned when you leave."
    }
  ],
  "pruned": [ { "node_id": "0009", "reason": "explicitly excludes home office equipment; defers to 3.2" } ],
  "hops": 4,
  "answer": "A desk is capped at 25,000 rupees, within a total home office allowance of 60,000 rupees
             covering desk, chair, monitor, keyboard and headset. (Handbook s3.2, pp. 21-24)"
}</t>
  </si>
  <si>
    <t xml:space="preserve">SIDE BY SIDE — Compare that against sheet 12's output. Same corpus, same question. Vector search returned three fragments, one of which actively contradicted the answer, and needed Top-K = 3 to include the right one. Tree search returned one whole section with a citation, a path, and a log of why it rejected the alternative. It also cost four LLM calls and a couple of seconds, where the vector search cost a few milliseconds of arithmetic. That is the trade, stated plainly.</t>
  </si>
  <si>
    <t xml:space="preserve">Traversal policies</t>
  </si>
  <si>
    <t xml:space="preserve">Policy</t>
  </si>
  <si>
    <t xml:space="preserve">Greedy</t>
  </si>
  <si>
    <t xml:space="preserve">Open the single best child at each level. Fastest; one call per level.</t>
  </si>
  <si>
    <t xml:space="preserve">Clear, well-separated sections. Cheap and usually right.</t>
  </si>
  <si>
    <t xml:space="preserve">Beam (width 2-3)</t>
  </si>
  <si>
    <t xml:space="preserve">Keep the top few branches alive at every level, as hop 1 did above.</t>
  </si>
  <si>
    <t xml:space="preserve">Ambiguous questions and overlapping sections. The sane default — it caught the 2.3-versus-3.2 ambiguity here.</t>
  </si>
  <si>
    <t xml:space="preserve">Exhaustive at a level</t>
  </si>
  <si>
    <t xml:space="preserve">Show the LLM every node at one depth in a single call and let it pick several.</t>
  </si>
  <si>
    <t xml:space="preserve">Shallow trees. Fewer round-trips, bigger prompt.</t>
  </si>
  <si>
    <t xml:space="preserve">Agentic / iterative</t>
  </si>
  <si>
    <t xml:space="preserve">The model reads a node, decides whether it is satisfied, and may go back up and try elsewhere.</t>
  </si>
  <si>
    <t xml:space="preserve">Hard multi-hop questions. Most expensive, most capable.</t>
  </si>
  <si>
    <t xml:space="preserve">GUARDRAILS — Two guardrails you will want in production. Cap the depth and the number of calls, or an agentic loop will happily wander a large tree and bill you for it. And require the model to return a node_id from the list it was shown — validate it, because a model that invents node 0099 will otherwise crash your retriever at 3am.</t>
  </si>
  <si>
    <t xml:space="preserve">24  ·  A HARDER QUERY  —  TWO BRANCHES, ONE ANSWER</t>
  </si>
  <si>
    <t xml:space="preserve">Query: "My laptop was stolen. What do I do, and do I get a new one?"</t>
  </si>
  <si>
    <t xml:space="preserve">This question has two halves, and they live in different places. "What do I do" is an incident procedure. "Do I get a new one" is about replacement hardware. A single top-K vector search handles this by hoping both land in the same neighbourhood. Tree search handles it by noticing there are two questions.</t>
  </si>
  <si>
    <t xml:space="preserve">First, what vector search does with it</t>
  </si>
  <si>
    <t xml:space="preserve">Type this query into the control panel on 00_START_HERE and look at sheet 12. You will find C16 at rank 1, C12 at rank 2, and C17 at rank 3. C12 is the laptop ENCRYPTION section — full of the words laptop and device, and completely irrelevant to a theft report. Meanwhile the answer is again split: C16 has the reporting procedure, C17 has the replacement timeline. At Top-K = 2 the user is told to call the service desk and never learns a replacement is coming.</t>
  </si>
  <si>
    <t xml:space="preserve">Now the tree search</t>
  </si>
  <si>
    <t xml:space="preserve">Options</t>
  </si>
  <si>
    <t xml:space="preserve">Reasoning</t>
  </si>
  <si>
    <t xml:space="preserve">ROOT</t>
  </si>
  <si>
    <t xml:space="preserve">A stolen company laptop is a security incident. The handbook covers leave, pay and remote work; none of those govern theft reporting. The replacement question might touch equipment policy, but replacement after theft is most likely handled alongside the incident procedure.</t>
  </si>
  <si>
    <t xml:space="preserve">→ 0013</t>
  </si>
  <si>
    <t xml:space="preserve">Correctly resists the pull of 'laptop' toward the handbook's equipment section.</t>
  </si>
  <si>
    <t xml:space="preserve">0013 IT Security</t>
  </si>
  <si>
    <t xml:space="preserve">0014 Device Security  ·  0017 Access Control  ·  0020 Incident Response</t>
  </si>
  <si>
    <t xml:space="preserve">This is an incident, so 0020 Incident Response is primary. The theft also compromises credentials, so 0017 Access Control may be needed for the follow-up. 0014 is about baseline protections such as encryption — preventative, not responsive. Open 0020, hold 0017.</t>
  </si>
  <si>
    <t xml:space="preserve">→ 0020  (hold 0017)</t>
  </si>
  <si>
    <t xml:space="preserve">Note it explicitly reasons ABOUT encryption and rejects it — the exact chunk vector search ranked 2nd.</t>
  </si>
  <si>
    <t xml:space="preserve">0020 Incident Response</t>
  </si>
  <si>
    <t xml:space="preserve">0021 Lost or Stolen Device  ·  0022 Phishing</t>
  </si>
  <si>
    <t xml:space="preserve">0021 is an exact match and its summary promises the reporting deadline, remote wipe, credential reset, and replacement hardware timing — which covers BOTH halves of the question.</t>
  </si>
  <si>
    <t xml:space="preserve">→ 0021  ✓ LEAF</t>
  </si>
  <si>
    <t xml:space="preserve">One node answers both halves, because the node was never split.</t>
  </si>
  <si>
    <t xml:space="preserve">0017 Access Control</t>
  </si>
  <si>
    <t xml:space="preserve">0018 Passwords and MFA  ·  0019 Shared Accounts</t>
  </si>
  <si>
    <t xml:space="preserve">0021 already states that the password must be reset and MFA re-enrolled. 0018 would add the password rules themselves, which the user did not ask for. Not needed — but if the user asks a follow-up about the new password, this is where to return.</t>
  </si>
  <si>
    <t xml:space="preserve">✗ PRUNE (noted)</t>
  </si>
  <si>
    <t xml:space="preserve">Restraint. Retrieving less is a skill; extra context is not free.</t>
  </si>
  <si>
    <t xml:space="preserve">System</t>
  </si>
  <si>
    <t xml:space="preserve">Retrieved</t>
  </si>
  <si>
    <t xml:space="preserve">Answer quality</t>
  </si>
  <si>
    <t xml:space="preserve">Vector, Top-K = 2</t>
  </si>
  <si>
    <t xml:space="preserve">C16 + C12 (encryption)</t>
  </si>
  <si>
    <t xml:space="preserve">INCOMPLETE. Tells the user to call the service desk within an hour. Says nothing about a replacement, because that sentence is in C17. Adds irrelevant encryption rules.</t>
  </si>
  <si>
    <t xml:space="preserve">Vector, Top-K = 3</t>
  </si>
  <si>
    <t xml:space="preserve">C16 + C12 + C17</t>
  </si>
  <si>
    <t xml:space="preserve">COMPLETE but noisy. Both halves present, plus one irrelevant chunk the model must ignore.</t>
  </si>
  <si>
    <t xml:space="preserve">Node 0021 (whole section, pp. 11-12)</t>
  </si>
  <si>
    <t xml:space="preserve">COMPLETE and clean. Report within 1 hour, incident report filed, remote wipe, reset password and re-enrol MFA, replacement laptop within 2 working days. One citation. Nothing irrelevant.</t>
  </si>
  <si>
    <t xml:space="preserve">INTUITION — The pattern repeats and it is not a coincidence. Whenever an answer spans more than one sentence of a real document, chunking is likely to have cut it, and vector search then has to reassemble the pieces by hoping they all rank highly. Tree search never breaks the pieces apart in the first place. That is a structural advantage, not a tuning advantage — which is why you cannot close the gap by adjusting chunk size.</t>
  </si>
  <si>
    <t xml:space="preserve">25  ·  HEAD TO HEAD</t>
  </si>
  <si>
    <t xml:space="preserve">Same corpus, same questions. Where each approach wins, and why.</t>
  </si>
  <si>
    <t xml:space="preserve">Three queries, both systems</t>
  </si>
  <si>
    <t xml:space="preserve">Vector search result</t>
  </si>
  <si>
    <t xml:space="preserve">Tree search result</t>
  </si>
  <si>
    <t xml:space="preserve">Winner</t>
  </si>
  <si>
    <t xml:space="preserve">"How much can I claim for a home office desk?"</t>
  </si>
  <si>
    <t xml:space="preserve">Top-3: C10, C08, C11. The right chunk is 3rd. Rank 2 is the section that EXCLUDES home office equipment. Correct only if Top-K ≥ 3, and even then the model must ignore a contradiction.</t>
  </si>
  <si>
    <t xml:space="preserve">Node 0012 whole, pages 21-24. Contains both the 60,000 envelope and the 25,000 desk limit. Section 2.3 explicitly considered and rejected, with the reason logged.</t>
  </si>
  <si>
    <t xml:space="preserve">TREE — decisively</t>
  </si>
  <si>
    <t xml:space="preserve">"How many days of sick leave do I get?"</t>
  </si>
  <si>
    <t xml:space="preserve">C03 at rank 1, cosine well clear of the field. Answer is one self-contained sentence in one chunk. Cost: microseconds.</t>
  </si>
  <si>
    <t xml:space="preserve">Root → 0002 → 0004. Correct, and returns the whole sick leave section. Cost: three LLM calls and a couple of seconds.</t>
  </si>
  <si>
    <t xml:space="preserve">VECTOR — same answer, a thousand times cheaper</t>
  </si>
  <si>
    <t xml:space="preserve">"My laptop was stolen. What do I do, and do I get a new one?"</t>
  </si>
  <si>
    <t xml:space="preserve">Top-3: C16, C12, C17. The answer is split across C16 and C17 with an irrelevant encryption chunk between them. Needs Top-K = 3 to be complete.</t>
  </si>
  <si>
    <t xml:space="preserve">Node 0021 whole. Both halves in one coherent section, one citation, nothing irrelevant.</t>
  </si>
  <si>
    <t xml:space="preserve">TREE — clearly</t>
  </si>
  <si>
    <t xml:space="preserve">INTUITION — The middle row is the honest one and the one people skip. For a simple lookup whose answer sits in one paragraph, vector search gives the identical result for a rounding error of the cost. If most of your traffic looks like that, reasoning-based retrieval is an expensive solution to a problem you do not have. Know your query distribution before you choose your architecture.</t>
  </si>
  <si>
    <t xml:space="preserve">Dimension by dimension</t>
  </si>
  <si>
    <t xml:space="preserve">Dimension</t>
  </si>
  <si>
    <t xml:space="preserve">Vector search RAG</t>
  </si>
  <si>
    <t xml:space="preserve">Vectorless / PageIndex</t>
  </si>
  <si>
    <t xml:space="preserve">Retrieval latency</t>
  </si>
  <si>
    <t xml:space="preserve">Milliseconds. One embedding call plus an index lookup.</t>
  </si>
  <si>
    <t xml:space="preserve">Seconds. Several sequential LLM calls, one per hop.</t>
  </si>
  <si>
    <t xml:space="preserve">Vector, by orders of magnitude</t>
  </si>
  <si>
    <t xml:space="preserve">Cost per query</t>
  </si>
  <si>
    <t xml:space="preserve">Fractions of a cent. Embedding a short query is nearly free.</t>
  </si>
  <si>
    <t xml:space="preserve">Cents. Each hop is a real LLM call with the tree in its prompt.</t>
  </si>
  <si>
    <t xml:space="preserve">Indexing cost</t>
  </si>
  <si>
    <t xml:space="preserve">One embedding pass over the corpus. Cheap per token, but pay it again on every model change.</t>
  </si>
  <si>
    <t xml:space="preserve">One LLM summarisation pass per node. More expensive per document, but no re-embedding treadmill.</t>
  </si>
  <si>
    <t xml:space="preserve">Depends</t>
  </si>
  <si>
    <t xml:space="preserve">Scale (documents)</t>
  </si>
  <si>
    <t xml:space="preserve">Millions to billions. This is what ANN indexes were built for.</t>
  </si>
  <si>
    <t xml:space="preserve">Naturally per-document; needs a file-level index layer above it to search a large corpus.</t>
  </si>
  <si>
    <t xml:space="preserve">Long structured documents</t>
  </si>
  <si>
    <t xml:space="preserve">Weak. Chunking destroys the structure that made the document navigable.</t>
  </si>
  <si>
    <t xml:space="preserve">The design target. Filings, contracts, manuals, regulations.</t>
  </si>
  <si>
    <t xml:space="preserve">Tree, decisively</t>
  </si>
  <si>
    <t xml:space="preserve">Short unstructured text</t>
  </si>
  <si>
    <t xml:space="preserve">Strong. Chat logs, tickets, product blurbs, FAQ entries.</t>
  </si>
  <si>
    <t xml:space="preserve">No advantage — there is no meaningful tree to build.</t>
  </si>
  <si>
    <t xml:space="preserve">Multi-step reasoning</t>
  </si>
  <si>
    <t xml:space="preserve">Weak. Similarity is a single hop with no notion of 'therefore'.</t>
  </si>
  <si>
    <t xml:space="preserve">Strong. Reasoning is the retrieval mechanism, not a post-processing step.</t>
  </si>
  <si>
    <t xml:space="preserve">Tree</t>
  </si>
  <si>
    <t xml:space="preserve">Negation and exclusions</t>
  </si>
  <si>
    <t xml:space="preserve">Poor. Cosine has no representation for NOT (see C08 on sheet 12).</t>
  </si>
  <si>
    <t xml:space="preserve">Good, provided the summary states the exclusion.</t>
  </si>
  <si>
    <t xml:space="preserve">Explainability</t>
  </si>
  <si>
    <t xml:space="preserve">A score. "Chunk 4127, 0.83." Unauditable.</t>
  </si>
  <si>
    <t xml:space="preserve">A path and a reasoning trace, including what was rejected and why.</t>
  </si>
  <si>
    <t xml:space="preserve">Failure mode</t>
  </si>
  <si>
    <t xml:space="preserve">Silent. Returns the wrong chunk with a confident score and no signal that anything is amiss.</t>
  </si>
  <si>
    <t xml:space="preserve">Visible. You can read the reasoning and see where it went wrong — and fix the summary that misled it.</t>
  </si>
  <si>
    <t xml:space="preserve">Freshness</t>
  </si>
  <si>
    <t xml:space="preserve">Re-embed changed chunks. Straightforward.</t>
  </si>
  <si>
    <t xml:space="preserve">Re-summarise changed nodes. Also straightforward.</t>
  </si>
  <si>
    <t xml:space="preserve">Tie</t>
  </si>
  <si>
    <t xml:space="preserve">Operational burden</t>
  </si>
  <si>
    <t xml:space="preserve">A vector database to run, scale, back up and secure.</t>
  </si>
  <si>
    <t xml:space="preserve">No vector database. But you now depend on LLM availability at retrieval time.</t>
  </si>
  <si>
    <t xml:space="preserve">Tie, differently shaped</t>
  </si>
  <si>
    <t xml:space="preserve">Maturity</t>
  </si>
  <si>
    <t xml:space="preserve">Battle-tested for years. Deep tooling, many vendors, abundant expertise.</t>
  </si>
  <si>
    <t xml:space="preserve">New (2025). Fast-moving, fewer war stories, thinner tooling.</t>
  </si>
  <si>
    <t xml:space="preserve">The hybrid architectures — what mature systems actually do</t>
  </si>
  <si>
    <t xml:space="preserve">Pattern</t>
  </si>
  <si>
    <t xml:space="preserve">Best for</t>
  </si>
  <si>
    <t xml:space="preserve">Vector shortlist → tree search</t>
  </si>
  <si>
    <t xml:space="preserve">Use cheap vector search over document-level summaries to pick the 3-5 documents worth opening, then run tree search inside those. Scale from the first stage, precision from the second.</t>
  </si>
  <si>
    <t xml:space="preserve">Large corpora of long documents. The most broadly useful pattern here.</t>
  </si>
  <si>
    <t xml:space="preserve">Route by question type</t>
  </si>
  <si>
    <t xml:space="preserve">A cheap classifier sends simple lookups to vector search and multi-step or structural questions to tree search. Pay for reasoning only when reasoning is required.</t>
  </si>
  <si>
    <t xml:space="preserve">Mixed traffic, cost-sensitive deployments.</t>
  </si>
  <si>
    <t xml:space="preserve">Tree structure as metadata</t>
  </si>
  <si>
    <t xml:space="preserve">Keep vector retrieval, but attach the section path to every chunk and use the tree to expand a hit into its whole parent section before answering.</t>
  </si>
  <si>
    <t xml:space="preserve">Teams with a working vector stack who want most of the benefit without rebuilding.</t>
  </si>
  <si>
    <t xml:space="preserve">Tree search → vector search inside a node</t>
  </si>
  <si>
    <t xml:space="preserve">Navigate to the right section by reasoning, then use embeddings to find the exact paragraph within a long node.</t>
  </si>
  <si>
    <t xml:space="preserve">Very long sections where the node itself exceeds the context window.</t>
  </si>
  <si>
    <t xml:space="preserve">INTUITION — Notice the third pattern especially. "Attach the section path to every chunk and expand a hit into its parent section" is parent-child retrieval from sheet 05, wearing the tree's clothes. The two families are converging: vector RAG keeps rediscovering that structure matters, and PageIndex started from structure and is working out how to scale. Anyone who tells you one has won is selling something.</t>
  </si>
  <si>
    <t xml:space="preserve">26  ·  EVALUATION  —  THE PART EVERYONE SKIPS</t>
  </si>
  <si>
    <t xml:space="preserve">You cannot improve what you do not measure, and RAG failures are invisible without measurement</t>
  </si>
  <si>
    <t xml:space="preserve">A RAG system has no exceptions and no stack traces. It returns a fluent answer whether retrieval worked or not. The only way to know is to build a golden set — questions with known correct sources — and score against it. Below, the metrics are computed live on the actual rankings from sheets 12 and 16, using our default query with C10 and C11 marked as relevant. Change the gold column and every metric moves.</t>
  </si>
  <si>
    <t xml:space="preserve">Per-chunk table  —  column C is yours to edit</t>
  </si>
  <si>
    <t xml:space="preserve">Gold? (1/0)</t>
  </si>
  <si>
    <t xml:space="preserve">Rerank rank</t>
  </si>
  <si>
    <t xml:space="preserve">Rank if gold (vec)</t>
  </si>
  <si>
    <t xml:space="preserve">Rank if gold (rerank)</t>
  </si>
  <si>
    <t xml:space="preserve">DCG term (vec)</t>
  </si>
  <si>
    <t xml:space="preserve">DCG term (rerank)</t>
  </si>
  <si>
    <t xml:space="preserve">Ideal pos</t>
  </si>
  <si>
    <t xml:space="preserve">Ideal DCG term</t>
  </si>
  <si>
    <t xml:space="preserve">NOT relevant — it excludes home office equipment. Vector search ranked it 2nd.</t>
  </si>
  <si>
    <t xml:space="preserve">Relevant: the allowance headline.</t>
  </si>
  <si>
    <t xml:space="preserve">Relevant: the actual desk limit.</t>
  </si>
  <si>
    <t xml:space="preserve">Retrieval metrics  —  all live</t>
  </si>
  <si>
    <t xml:space="preserve">Vector search</t>
  </si>
  <si>
    <t xml:space="preserve">After reranking</t>
  </si>
  <si>
    <t xml:space="preserve">What it answers</t>
  </si>
  <si>
    <t xml:space="preserve">When it is the right metric</t>
  </si>
  <si>
    <t xml:space="preserve">Recall@K</t>
  </si>
  <si>
    <t xml:space="preserve">Of everything relevant, what fraction did we retrieve?</t>
  </si>
  <si>
    <t xml:space="preserve">The metric that matters most for RAG. If the answer is not in the context, nothing downstream can save you.</t>
  </si>
  <si>
    <t xml:space="preserve">Precision@K</t>
  </si>
  <si>
    <t xml:space="preserve">Of what we retrieved, what fraction was relevant?</t>
  </si>
  <si>
    <t xml:space="preserve">Matters when context is expensive. Low precision means the model is wading through noise.</t>
  </si>
  <si>
    <t xml:space="preserve">MRR</t>
  </si>
  <si>
    <t xml:space="preserve">How high is the FIRST relevant result?</t>
  </si>
  <si>
    <t xml:space="preserve">Right when there is one correct answer and the user reads only the top result.</t>
  </si>
  <si>
    <t xml:space="preserve">nDCG@K</t>
  </si>
  <si>
    <t xml:space="preserve">Are the relevant items near the TOP, not merely present?</t>
  </si>
  <si>
    <t xml:space="preserve">The most complete single number. Rewards ranking quality, not just membership.</t>
  </si>
  <si>
    <t xml:space="preserve">Hit rate@K</t>
  </si>
  <si>
    <t xml:space="preserve">Did we get at least one relevant chunk?</t>
  </si>
  <si>
    <t xml:space="preserve">A blunt sanity check. Useful as a floor; too forgiving to optimise against.</t>
  </si>
  <si>
    <t xml:space="preserve">RUN THIS EXPERIMENT — With Top-K = 3 and the default query, vector search finds both gold chunks (C10 at rank 1, C11 at rank 3) for Recall@3 of 100% — but nDCG is dragged down because a non-relevant chunk sits between them at rank 2. After reranking the two gold chunks occupy ranks 1 and 2, and nDCG jumps. Now set Top-K to 2 on the control panel and watch vector Recall fall to 50% while the reranked version holds at 100%. That single experiment is the clearest argument for reranking in this entire workbook.</t>
  </si>
  <si>
    <t xml:space="preserve">Generation metrics  —  because good retrieval can still produce a bad answer</t>
  </si>
  <si>
    <t xml:space="preserve">Question it asks</t>
  </si>
  <si>
    <t xml:space="preserve">How to measure it</t>
  </si>
  <si>
    <t xml:space="preserve">Faithfulness / groundedness</t>
  </si>
  <si>
    <t xml:space="preserve">Is every claim in the answer supported by the retrieved context?</t>
  </si>
  <si>
    <t xml:space="preserve">Split the answer into claims; ask a judge model whether each is entailed by the context. The primary hallucination detector.</t>
  </si>
  <si>
    <t xml:space="preserve">Answer relevance</t>
  </si>
  <si>
    <t xml:space="preserve">Does the answer address the question that was asked?</t>
  </si>
  <si>
    <t xml:space="preserve">A judge model scores answer against question. Catches technically-true-but-unhelpful replies.</t>
  </si>
  <si>
    <t xml:space="preserve">Context precision</t>
  </si>
  <si>
    <t xml:space="preserve">Are the retrieved chunks that were USED ranked highly?</t>
  </si>
  <si>
    <t xml:space="preserve">Check which retrieved chunks the answer actually drew on. Diagnoses wasted context.</t>
  </si>
  <si>
    <t xml:space="preserve">Context recall</t>
  </si>
  <si>
    <t xml:space="preserve">Did retrieval find everything needed to answer fully?</t>
  </si>
  <si>
    <t xml:space="preserve">Compare against a reference answer. This is the metric our C10/C11 split fails.</t>
  </si>
  <si>
    <t xml:space="preserve">Refusal accuracy</t>
  </si>
  <si>
    <t xml:space="preserve">Does it say "I don't know" exactly when it should?</t>
  </si>
  <si>
    <t xml:space="preserve">Include unanswerable questions in the golden set. Most teams do not, and so never learn their refusal path is broken.</t>
  </si>
  <si>
    <t xml:space="preserve">Citation validity</t>
  </si>
  <si>
    <t xml:space="preserve">Do the cited sources exist and support the claim?</t>
  </si>
  <si>
    <t xml:space="preserve">Deterministic check: parse the markers, verify each resolves to a chunk that was actually sent.</t>
  </si>
  <si>
    <t xml:space="preserve">Building a golden set that is worth having</t>
  </si>
  <si>
    <t xml:space="preserve">50-200 questions to start</t>
  </si>
  <si>
    <t xml:space="preserve">Enough to see real movement, small enough to actually build this week. Perfect is the enemy of existent here.</t>
  </si>
  <si>
    <t xml:space="preserve">Take them from real user logs</t>
  </si>
  <si>
    <t xml:space="preserve">Questions you invent are written by someone who knows the corpus, and are therefore easier and differently phrased than real ones.</t>
  </si>
  <si>
    <t xml:space="preserve">Label the SOURCE, not just the answer</t>
  </si>
  <si>
    <t xml:space="preserve">"The answer is 25,000" cannot tell you whether retrieval or generation failed. "Section 3.2" can.</t>
  </si>
  <si>
    <t xml:space="preserve">Include unanswerable questions</t>
  </si>
  <si>
    <t xml:space="preserve">At least 10%. Otherwise you never measure the refusal path, which is where the reputational damage lives.</t>
  </si>
  <si>
    <t xml:space="preserve">Include multi-hop questions</t>
  </si>
  <si>
    <t xml:space="preserve">Questions whose answer spans two sections are where chunking-based systems break, and where architectural differences show up.</t>
  </si>
  <si>
    <t xml:space="preserve">Version it and re-run on every change</t>
  </si>
  <si>
    <t xml:space="preserve">Chunk size, embedding model, prompt, K — each silently shifts results. Without a regression suite you are guessing.</t>
  </si>
  <si>
    <t xml:space="preserve">INTUITION — Teams routinely spend three weeks tuning chunk size by feel and zero days building a golden set. Invert that. Two days of labelling turns every later decision from an argument into a measurement, and it is the difference between engineering and vibes.</t>
  </si>
  <si>
    <t xml:space="preserve">27  ·  COST AND LATENCY</t>
  </si>
  <si>
    <t xml:space="preserve">Both architectures, same corpus, live numbers. Edit the yellow cells.</t>
  </si>
  <si>
    <t xml:space="preserve">Assumptions</t>
  </si>
  <si>
    <t xml:space="preserve">Unit</t>
  </si>
  <si>
    <t xml:space="preserve">Documents in corpus</t>
  </si>
  <si>
    <t xml:space="preserve">docs</t>
  </si>
  <si>
    <t xml:space="preserve">Long professional documents.</t>
  </si>
  <si>
    <t xml:space="preserve">Average pages per document</t>
  </si>
  <si>
    <t xml:space="preserve">pages</t>
  </si>
  <si>
    <t xml:space="preserve">Words per page</t>
  </si>
  <si>
    <t xml:space="preserve">words</t>
  </si>
  <si>
    <t xml:space="preserve">Queries per month</t>
  </si>
  <si>
    <t xml:space="preserve">queries</t>
  </si>
  <si>
    <t xml:space="preserve">Embedding cost</t>
  </si>
  <si>
    <t xml:space="preserve">$ / 1M tokens</t>
  </si>
  <si>
    <t xml:space="preserve">Typical small embedding model.</t>
  </si>
  <si>
    <t xml:space="preserve">LLM input cost</t>
  </si>
  <si>
    <t xml:space="preserve">Mid-tier model.</t>
  </si>
  <si>
    <t xml:space="preserve">LLM output cost</t>
  </si>
  <si>
    <t xml:space="preserve">Tree nodes per document</t>
  </si>
  <si>
    <t xml:space="preserve">nodes</t>
  </si>
  <si>
    <t xml:space="preserve">Sections and subsections.</t>
  </si>
  <si>
    <t xml:space="preserve">Tokens per summarisation call</t>
  </si>
  <si>
    <t xml:space="preserve">tokens</t>
  </si>
  <si>
    <t xml:space="preserve">Node text in, summary out.</t>
  </si>
  <si>
    <t xml:space="preserve">Hops per tree search</t>
  </si>
  <si>
    <t xml:space="preserve">hops</t>
  </si>
  <si>
    <t xml:space="preserve">LLM calls per query at retrieval time.</t>
  </si>
  <si>
    <t xml:space="preserve">Tokens per hop</t>
  </si>
  <si>
    <t xml:space="preserve">Question plus the node's children and their summaries.</t>
  </si>
  <si>
    <t xml:space="preserve">Corpus size</t>
  </si>
  <si>
    <t xml:space="preserve">Total words in corpus</t>
  </si>
  <si>
    <t xml:space="preserve">Total tokens (approx.)</t>
  </si>
  <si>
    <t xml:space="preserve">At roughly 1.33 tokens per word.</t>
  </si>
  <si>
    <t xml:space="preserve">Chunks at 400 tokens each</t>
  </si>
  <si>
    <t xml:space="preserve">Tree nodes total</t>
  </si>
  <si>
    <t xml:space="preserve">One-off indexing cost</t>
  </si>
  <si>
    <t xml:space="preserve">Vector RAG</t>
  </si>
  <si>
    <t xml:space="preserve">PageIndex</t>
  </si>
  <si>
    <t xml:space="preserve">Index build cost ($)</t>
  </si>
  <si>
    <t xml:space="preserve">Vector: one embedding pass. PageIndex: one LLM summarisation call per node.</t>
  </si>
  <si>
    <t xml:space="preserve">Cost to change embedding/summary model</t>
  </si>
  <si>
    <t xml:space="preserve">The same bill again. For vectors this is forced on you whenever a model is deprecated; PageIndex has no equivalent treadmill, though you may re-summarise to improve quality.</t>
  </si>
  <si>
    <t xml:space="preserve">Recurring query cost</t>
  </si>
  <si>
    <t xml:space="preserve">Retrieval cost per month ($)</t>
  </si>
  <si>
    <t xml:space="preserve">Vector: embed a ~20-token query. PageIndex: several full LLM calls per query.</t>
  </si>
  <si>
    <t xml:space="preserve">Retrieval cost per query ($)</t>
  </si>
  <si>
    <t xml:space="preserve">The number that decides your architecture at scale.</t>
  </si>
  <si>
    <t xml:space="preserve">Typical retrieval latency</t>
  </si>
  <si>
    <t xml:space="preserve">20 - 80 ms</t>
  </si>
  <si>
    <t xml:space="preserve">1.5 - 6 s</t>
  </si>
  <si>
    <t xml:space="preserve">Vector: index lookup. PageIndex: sequential LLM calls that cannot be parallelised, because each hop depends on the last.</t>
  </si>
  <si>
    <t xml:space="preserve">Generation cost per month ($)</t>
  </si>
  <si>
    <t xml:space="preserve">Roughly equal — both end by sending retrieved text to a model. PageIndex sends slightly more because sections are whole.</t>
  </si>
  <si>
    <t xml:space="preserve">TOTAL FIRST-YEAR COST ($)</t>
  </si>
  <si>
    <t xml:space="preserve">Indexing once, plus twelve months of retrieval and generation.</t>
  </si>
  <si>
    <t xml:space="preserve">INTUITION — At the default settings PageIndex costs dramatically more to index and dramatically more per query. That is not a flaw in the accounting — it is the honest price of doing reasoning at retrieval time instead of arithmetic. The question is never which is cheaper; it is whether the accuracy is worth it for YOUR documents and YOUR questions. Drop queries per month to 2,000 (a specialist internal tool over contracts) and the picture changes completely. Raise it to ten million (consumer search) and reasoning-based retrieval on every query becomes indefensible.</t>
  </si>
  <si>
    <t xml:space="preserve">THE INVISIBLE LINE ITEM — Also weigh the cost that does not appear in any of these cells: an engineer's week spent debugging why the system returned the wrong section, on an architecture that cannot tell you why. Explainability has a real, unbudgeted price when it is missing.</t>
  </si>
  <si>
    <t xml:space="preserve">28  ·  WHICH ARCHITECTURE, WHEN</t>
  </si>
  <si>
    <t xml:space="preserve">Answer these in order. The first clear signal usually decides it.</t>
  </si>
  <si>
    <t xml:space="preserve">If yes</t>
  </si>
  <si>
    <t xml:space="preserve">If no</t>
  </si>
  <si>
    <t xml:space="preserve">Do you have fewer than ~10,000 chunks?</t>
  </si>
  <si>
    <t xml:space="preserve">Use flat/exact vector search. Skip the ANN index entirely.</t>
  </si>
  <si>
    <t xml:space="preserve">You need a real index — HNSW or IVF.</t>
  </si>
  <si>
    <t xml:space="preserve">Below this, exact search is fast enough and always correct. Do not build infrastructure you cannot yet justify.</t>
  </si>
  <si>
    <t xml:space="preserve">Are your documents long and genuinely structured? (filings, contracts, manuals, regulations)</t>
  </si>
  <si>
    <t xml:space="preserve">Reasoning-based retrieval is a serious contender. At minimum, preserve structure and use parent-child retrieval.</t>
  </si>
  <si>
    <t xml:space="preserve">Vector RAG. There is no tree worth building over short unstructured text.</t>
  </si>
  <si>
    <t xml:space="preserve">The whole advantage of tree search comes from structure. No structure, no advantage.</t>
  </si>
  <si>
    <t xml:space="preserve">Do users search for exact strings — IDs, codes, part numbers, names?</t>
  </si>
  <si>
    <t xml:space="preserve">You need BM25 in the mix, whatever else you choose.</t>
  </si>
  <si>
    <t xml:space="preserve">Dense retrieval alone may suffice.</t>
  </si>
  <si>
    <t xml:space="preserve">Embeddings blur literal strings. This is not tunable; it is inherent.</t>
  </si>
  <si>
    <t xml:space="preserve">Do answers usually require combining two or more sections?</t>
  </si>
  <si>
    <t xml:space="preserve">Tree search, or vector search with aggressive parent-child expansion.</t>
  </si>
  <si>
    <t xml:space="preserve">Plain top-K is fine.</t>
  </si>
  <si>
    <t xml:space="preserve">Multi-hop is where chunk-and-embed breaks most visibly.</t>
  </si>
  <si>
    <t xml:space="preserve">Must you explain WHY a source was chosen — audit, regulation, legal?</t>
  </si>
  <si>
    <t xml:space="preserve">Tree search. The reasoning trace is a first-class output.</t>
  </si>
  <si>
    <t xml:space="preserve">Scores are acceptable.</t>
  </si>
  <si>
    <t xml:space="preserve">"Cosine 0.83" has never satisfied an auditor.</t>
  </si>
  <si>
    <t xml:space="preserve">Is per-query latency under ~200 ms a hard requirement?</t>
  </si>
  <si>
    <t xml:space="preserve">Vector search. Tree search cannot meet this.</t>
  </si>
  <si>
    <t xml:space="preserve">Tree search is viable.</t>
  </si>
  <si>
    <t xml:space="preserve">Sequential LLM calls cannot be made fast; the hops depend on each other.</t>
  </si>
  <si>
    <t xml:space="preserve">Are you serving more than ~1M queries per month?</t>
  </si>
  <si>
    <t xml:space="preserve">Vector search for the bulk. Route only hard questions to reasoning.</t>
  </si>
  <si>
    <t xml:space="preserve">Either. Cost is not your constraint.</t>
  </si>
  <si>
    <t xml:space="preserve">Per-query LLM cost dominates everything at volume.</t>
  </si>
  <si>
    <t xml:space="preserve">Do you have a golden evaluation set?</t>
  </si>
  <si>
    <t xml:space="preserve">Then measure both on it and stop guessing.</t>
  </si>
  <si>
    <t xml:space="preserve">BUILD ONE FIRST. Nothing on this sheet beats measurement.</t>
  </si>
  <si>
    <t xml:space="preserve">Every row above is a prior. Your data is the evidence.</t>
  </si>
  <si>
    <t xml:space="preserve">Default recommendations by scenario</t>
  </si>
  <si>
    <t xml:space="preserve">Scenario</t>
  </si>
  <si>
    <t xml:space="preserve">Recommended stack</t>
  </si>
  <si>
    <t xml:space="preserve">Internal company knowledge base, mixed documents</t>
  </si>
  <si>
    <t xml:space="preserve">Structure-aware chunking → hybrid BM25 + dense → RRF → cross-encoder rerank → top 5. The boring, reliable answer, and right far more often than it is exciting.</t>
  </si>
  <si>
    <t xml:space="preserve">Financial filings / legal contracts, deep questions</t>
  </si>
  <si>
    <t xml:space="preserve">PageIndex-style tree index, beam-width 2, full sections returned. Add document-level vector shortlisting once you exceed a few hundred documents.</t>
  </si>
  <si>
    <t xml:space="preserve">Customer support over tickets and chat logs</t>
  </si>
  <si>
    <t xml:space="preserve">Pure vector RAG with small chunks and metadata filters on product and date. No structure to exploit.</t>
  </si>
  <si>
    <t xml:space="preserve">Product documentation site search</t>
  </si>
  <si>
    <t xml:space="preserve">Hybrid, chunked by heading, parent-child expansion to the full subsection. Cheap and very effective.</t>
  </si>
  <si>
    <t xml:space="preserve">Research assistant over academic papers</t>
  </si>
  <si>
    <t xml:space="preserve">Tree index per paper (papers have excellent structure), plus vector search across abstracts to choose papers. The canonical hybrid.</t>
  </si>
  <si>
    <t xml:space="preserve">Anything with fewer than 50 documents</t>
  </si>
  <si>
    <t xml:space="preserve">Consider skipping retrieval entirely and putting the whole corpus in a long context window. Measure it before you build a pipeline you may not need.</t>
  </si>
  <si>
    <t xml:space="preserve">INTUITION — That last row is not a joke. A great deal of RAG infrastructure has been built to solve a problem a 200k-token context window had already dissolved. Always check whether the simplest thing works before building the sophisticated thing — and if it does, the sophisticated thing is not engineering, it is decoration.</t>
  </si>
  <si>
    <t xml:space="preserve">29  ·  EXERCISES</t>
  </si>
  <si>
    <t xml:space="preserve">Every one of these is done by editing a cell and reading what happens. Answers on sheet 30.</t>
  </si>
  <si>
    <t xml:space="preserve">Do not read the answers first. The whole value of a live spreadsheet is that you can form a prediction, change the cell, and find out immediately whether you understood the mechanism or merely recognised the words. Predict before you click — being wrong is the part that teaches.</t>
  </si>
  <si>
    <t xml:space="preserve">Topic</t>
  </si>
  <si>
    <t xml:space="preserve">Go to sheet</t>
  </si>
  <si>
    <t xml:space="preserve">Task</t>
  </si>
  <si>
    <t xml:space="preserve">Done</t>
  </si>
  <si>
    <t xml:space="preserve">Warm-up</t>
  </si>
  <si>
    <t xml:space="preserve">Change the query to "how many days of sick leave" and find its rank-1 chunk on sheet 12.</t>
  </si>
  <si>
    <t xml:space="preserve">Easy</t>
  </si>
  <si>
    <t xml:space="preserve">Which single chunk has the highest total term hits? Why is that not the same as being most relevant to anything?</t>
  </si>
  <si>
    <t xml:space="preserve">Embeddings</t>
  </si>
  <si>
    <t xml:space="preserve">Find two chunks with nearly identical normalised vectors. What does that mean about how the system sees them?</t>
  </si>
  <si>
    <t xml:space="preserve">Vector math</t>
  </si>
  <si>
    <t xml:space="preserve">Set Vector B to exactly double Vector A. What happens to cosine? To Euclidean distance? Explain in one sentence.</t>
  </si>
  <si>
    <t xml:space="preserve">Construct two vectors with cosine exactly 0. What does a 90-degree angle mean for two pieces of text?</t>
  </si>
  <si>
    <t xml:space="preserve">Medium</t>
  </si>
  <si>
    <t xml:space="preserve">With the default query, at what Top-K does the system first contain the true answer? What does that cost you?</t>
  </si>
  <si>
    <t xml:space="preserve">Query "workstation budget" (no shared words with the corpus). What happens, and what does it prove about our toy embedding versus a real one?</t>
  </si>
  <si>
    <t xml:space="preserve">Find a query where C08 ranks 1st. Explain why that is dangerous for a user.</t>
  </si>
  <si>
    <t xml:space="preserve">If C10 and C11 were a single chunk, which sheet-12 failure disappears? Which one remains?</t>
  </si>
  <si>
    <t xml:space="preserve">Our chunks average about 40 words. Argue for doubling it, then argue against. Which side wins for THIS corpus?</t>
  </si>
  <si>
    <t xml:space="preserve">ANN</t>
  </si>
  <si>
    <t xml:space="preserve">Set chunks to 500 and dimensions to 384. Is an ANN index justified? At what corpus size does it become so?</t>
  </si>
  <si>
    <t xml:space="preserve">BM25</t>
  </si>
  <si>
    <t xml:space="preserve">Set k1 to 0 on the control panel. What does BM25 now measure? Which chunks move?</t>
  </si>
  <si>
    <t xml:space="preserve">Set b to 0, then to 1. Which chunks gain in each case, and why?</t>
  </si>
  <si>
    <t xml:space="preserve">Which term has the highest IDF? Why is a query containing it a strong query?</t>
  </si>
  <si>
    <t xml:space="preserve">Hybrid</t>
  </si>
  <si>
    <t xml:space="preserve">Set RRF k to 1, then to 500. Describe how fusion behaviour changes at each extreme.</t>
  </si>
  <si>
    <t xml:space="preserve">Check all 18 rows: does ANY chunk get a strictly better fused rank than it got from either method alone? What does your answer say about when fusion helps?</t>
  </si>
  <si>
    <t xml:space="preserve">Hard</t>
  </si>
  <si>
    <t xml:space="preserve">17</t>
  </si>
  <si>
    <t xml:space="preserve">Reranking</t>
  </si>
  <si>
    <t xml:space="preserve">Set C08's cross-encoder score to 0.95. Which chunk falls out of the top 3? Why is that outcome bad?</t>
  </si>
  <si>
    <t xml:space="preserve">Context</t>
  </si>
  <si>
    <t xml:space="preserve">Set Top-K to 18. How much headroom remains? Why is sending all 18 still a bad idea?</t>
  </si>
  <si>
    <t xml:space="preserve">Write a system prompt that would have prevented the wrong 60,000 answer even with only C10 retrieved.</t>
  </si>
  <si>
    <t xml:space="preserve">20</t>
  </si>
  <si>
    <t xml:space="preserve">Vectorless</t>
  </si>
  <si>
    <t xml:space="preserve">Rewrite node 0008's summary (Annual Bonus) so it would route a bonus question correctly and away from 2.1.</t>
  </si>
  <si>
    <t xml:space="preserve">At hop 1 the model kept two branches. Construct a query where keeping only one would give the wrong answer.</t>
  </si>
  <si>
    <t xml:space="preserve">Node 0009's summary states an exclusion. Write a summary for 0012 that would ALSO help route away from 2.3.</t>
  </si>
  <si>
    <t xml:space="preserve">Evaluation</t>
  </si>
  <si>
    <t xml:space="preserve">Set Top-K to 2. Compare vector and reranked Recall@K. Which metric best captures what a user experiences?</t>
  </si>
  <si>
    <t xml:space="preserve">24</t>
  </si>
  <si>
    <t xml:space="preserve">Mark C08 as gold (set it to 1). Watch every metric change. What does this teach you about who defines relevance?</t>
  </si>
  <si>
    <t xml:space="preserve">Architecture</t>
  </si>
  <si>
    <t xml:space="preserve">You have 200 insurance contracts averaging 80 pages. Users ask multi-clause questions. Design the stack and justify each choice.</t>
  </si>
  <si>
    <t xml:space="preserve">26</t>
  </si>
  <si>
    <t xml:space="preserve">Set queries per month to 2,000, then to 10,000,000. Compare the first-year totals in each case. What does each scenario say about where reasoning-based retrieval belongs?</t>
  </si>
  <si>
    <t xml:space="preserve">30  ·  ANSWERS</t>
  </si>
  <si>
    <t xml:space="preserve">Where an exercise has more than one defensible answer, the reasoning matters more than the conclusion.</t>
  </si>
  <si>
    <t xml:space="preserve">C03 ranks 1st, with a large gap to 2nd. Sick leave vocabulary (sick, medical, doctor, illness, leave) is concentrated in one chunk and appears almost nowhere else, so the query vector points almost exactly at it. This is what an easy retrieval problem looks like — and why demos are so convincing.</t>
  </si>
  <si>
    <t xml:space="preserve">The longest chunks (C10, C11, C03) top the raw hit count, because more words means more chances to match any term. That is precisely why we normalise on sheet 09 and why BM25 has a length-normalisation term. Raw counts measure verbosity; direction measures meaning.</t>
  </si>
  <si>
    <t xml:space="preserve">C10 and C11 are nearly identical — both lean on PLACE, EQUIP and MONEY. The system essentially cannot tell them apart, which is exactly why it ranks C10 1st and C11 3rd almost arbitrarily. Two chunks from the same section usually look alike, which makes the split doubly damaging: it halves the answer AND makes the halves indistinguishable.</t>
  </si>
  <si>
    <t xml:space="preserve">Cosine does not move at all; Euclidean distance grows. Doubling changes magnitude, not direction — and meaning is direction. This is the one-keystroke argument for cosine in text retrieval.</t>
  </si>
  <si>
    <t xml:space="preserve">Put all of A's weight on axes where B has zero, e.g. A = (0,1,2,1,0,0,0,0) and B = (1,0,0,0,0,0,0,1). Cosine 0 means the two texts share no conceptual overlap in this space at all — they are about entirely unrelated things. Genuine 0 is rare with real embeddings, because almost any two English texts share some direction.</t>
  </si>
  <si>
    <t xml:space="preserve">Top-K = 3. The cost is that you sent three chunks to get one answer, one of which (C08) actively contradicts it. You bought correctness with tokens and with the model's willingness to ignore a distractor — neither of which is guaranteed.</t>
  </si>
  <si>
    <t xml:space="preserve">Nothing matches. "Workstation" and "budget" are not among our 57 stems, so the query vector is all zeros and every cosine collapses to 0. A REAL embedding model would place "workstation budget" very near the desk allowance chunks without any shared word. That gap is the single strongest argument for dense retrieval over keyword matching, and our toy cannot show it — which is the honest limit of the toy.</t>
  </si>
  <si>
    <t xml:space="preserve">Try "expense claim receipt approval". C08 and C07 dominate, correctly, since that IS the expenses process. The danger is a query like "claim for home office chair": C08 scores highly while being the one section that excludes home office equipment. The user is handed an authoritative-sounding process that does not apply to them.</t>
  </si>
  <si>
    <t xml:space="preserve">The split-answer failure disappears — one chunk would carry both the 60,000 envelope and the 25,000 desk limit, and Top-K = 1 would be correct. The similarity-is-not-relevance failure REMAINS: C08 would still rank highly, because nothing about merging chunks teaches cosine what NOT means.</t>
  </si>
  <si>
    <t xml:space="preserve">FOR: fewer split answers, more self-contained context, and our sections are short anyway. AGAINST: vectors blur across topics, precision drops, more irrelevant text per retrieval. For THIS corpus, doubling wins — our sections are naturally 40-80 words, so chunking at 80 would align with section boundaries and eliminate the C10/C11 split. Which is really an argument for structure-aware chunking rather than for any particular number.</t>
  </si>
  <si>
    <t xml:space="preserve">At 500 chunks and 384 dimensions, exact search is 192,000 multiply-adds — microseconds. An ANN index would be pure overhead and would cost you recall for nothing. The crossover is usually somewhere around 10,000-100,000 vectors, depending on latency budget and concurrency.</t>
  </si>
  <si>
    <t xml:space="preserve">With k1 = 0 the term-frequency component collapses to a constant, so BM25 becomes pure IDF: it measures only WHETHER a rare term appears, not how often. Short chunks containing a rare query term gain sharply; chunks that repeat a term lose their advantage entirely.</t>
  </si>
  <si>
    <t xml:space="preserve">b = 0 removes length normalisation, so long chunks (C10, C11, C03) rise — they contain more of everything by accident. b = 1 fully normalises, so short chunks with a high density of query terms rise. 0.75 is the standard compromise and is standard because it usually works.</t>
  </si>
  <si>
    <t xml:space="preserve">Terms appearing in exactly one chunk hold the highest IDF — phishing, encrypt, monitor, keyboard, doctor. A query containing one is strong because it is nearly a unique key: it points at one chunk and almost nothing else. Queries made only of common terms (pay, report, review) are weak for the opposite reason.</t>
  </si>
  <si>
    <t xml:space="preserve">k = 1 makes rank 1 overwhelmingly dominant — whichever system's top pick wins tends to take the fused top spot, so fusion barely fuses. k = 500 flattens the curve so much that ranks 1 and 10 contribute almost equally, and consensus across many positions dominates. 60 sits deliberately between the two.</t>
  </si>
  <si>
    <t xml:space="preserve">No — not one, for this query. Every chunk's fused rank equals the better of its two input ranks or sits between them. That is the honest behaviour of RRF: it is a smoothing operation, not a discovery mechanism. It protects you when ONE system makes an isolated mistake — C16, which BM25 ranks 5th on the strength of 'IT service desk', is held at 6th rather than promoted. It cannot help when BOTH systems make the same mistake, which is exactly C08: 2nd on cosine, 1st on BM25, 1st after fusion. Fusion combines evidence; it does not add judgement. Only something that READS the chunk can do that, which is why sheet 16 exists.</t>
  </si>
  <si>
    <t xml:space="preserve">C11 falls out of the top 3, so you lose the chunk containing the actual 25,000 answer and keep the one that says home office equipment is NOT claimed this way. This is the point of the exercise: a reranker is only as good as its judgement, and a confidently wrong reranker is MORE dangerous than none, because it moves a bad chunk to position 1 where the model trusts it most.</t>
  </si>
  <si>
    <t xml:space="preserve">Plenty of headroom — our corpus is tiny. It is still a bad idea: you pay for every token, latency rises, and the model must now find one relevant sentence among eighteen chunks, sixteen of which are noise. "It fits" is not the same as "it helps".</t>
  </si>
  <si>
    <t xml:space="preserve">Something close to: "Answer ONLY from the context. If the context gives a TOTAL or aggregate figure but the question asks about a SPECIFIC item, say that you can only find the total and state explicitly that the per-item limit was not found." This engineers the model's uncertainty rather than hoping for it — and it turns a wrong answer into a useful one.</t>
  </si>
  <si>
    <t xml:space="preserve">Something like: "Size and funding of the annual bonus pool, when it is paid, and eligibility rules for mid-year joiners. Covers variable pay only — base salary and pay reviews are in 2.1." The final clause is the important part: it routes away as well as toward.</t>
  </si>
  <si>
    <t xml:space="preserve">Any query whose vocabulary points at one branch while its meaning points at another. For example: "can I expense a monitor?" — the word 'expense' pulls hard toward 2.3, and a greedy searcher committing to that branch at hop 1 would find only the exclusion and might report that monitors cannot be claimed at all. Beam search survives this because it holds 3.x open until the evidence resolves.</t>
  </si>
  <si>
    <t xml:space="preserve">Something like: "The one-time home office allowance: total amount, covered items, per-item limits for desk and chair, how to order, and ownership. This is the correct section for ALL home office equipment questions; such items are NOT claimed through the expense process in 2.3." Both nodes now point at each other, so the navigator reaches the right place from either direction.</t>
  </si>
  <si>
    <t xml:space="preserve">At Top-K = 2, vector Recall@2 falls to 50% (only C10 makes the cut; C11 is 3rd) while reranked Recall@2 stays at 100%. Recall@K is closest to user experience here, because a user who receives half the answer receives a wrong answer — there is no partial credit when the reply says 60,000 and the truth is 25,000.</t>
  </si>
  <si>
    <t xml:space="preserve">Every metric jumps, because you told the system that the section EXCLUDING home office equipment is a correct source. The lesson: metrics measure agreement with your labels, not truth. A golden set built by someone who does not understand the domain will confidently optimise your system toward the wrong behaviour, and every dashboard will be green while it happens.</t>
  </si>
  <si>
    <t xml:space="preserve">Roughly: PageIndex-style tree per contract (80 pages, deep structure, multi-clause questions — the ideal case); document-level vector search across the 200 contracts to shortlist which to open; beam width 2 or 3 because clause questions are ambiguous; return whole clauses with page citations; BM25 alongside for defined terms and party names; a golden set of 100 real questions labelled with clause references before any of this ships.</t>
  </si>
  <si>
    <t xml:space="preserve">At 2,000 queries a month PageIndex costs roughly $3,000 in year one against roughly $250 for vector RAG — about twelve times more in ratio, trivial in absolute terms, and easily justified if accuracy matters (say, a specialist tool over 200 contracts). At 10,000,000 queries a month its retrieval bill alone runs past $200,000 PER MONTH, which no accuracy gain justifies for routine lookups. Note that the two never actually cross: PageIndex is more expensive at EVERY volume, because its indexing cost is higher and its per-query cost is roughly fifty thousand times higher. The two scenarios reach the same conclusion from opposite ends — reasoning-based retrieval must be RATIONED, routed to the questions that need it, not applied to everything. That is why the routing pattern on sheet 25 exists, and why the honest answer to 'which architecture?' is usually 'both, with a classifier in front'.</t>
  </si>
  <si>
    <t xml:space="preserve">31  ·  GLOSSARY</t>
  </si>
  <si>
    <t xml:space="preserve">Term</t>
  </si>
  <si>
    <t xml:space="preserve">Agentic retrieval</t>
  </si>
  <si>
    <t xml:space="preserve">Retrieval where a model decides its own next action — open this node, go back up, search again — rather than following a fixed pipeline.</t>
  </si>
  <si>
    <t xml:space="preserve">Approximate Nearest Neighbour. Index that finds near-nearest vectors fast by accepting a small chance of missing the true nearest.</t>
  </si>
  <si>
    <t xml:space="preserve">Asymmetric retrieval</t>
  </si>
  <si>
    <t xml:space="preserve">Handling the fact that a question and its answer do not look alike. Solved with query/passage prefixes or HyDE.</t>
  </si>
  <si>
    <t xml:space="preserve">b (BM25)</t>
  </si>
  <si>
    <t xml:space="preserve">Controls length normalisation strength. 0 ignores length, 1 fully normalises, 0.75 is standard.</t>
  </si>
  <si>
    <t xml:space="preserve">Beam search</t>
  </si>
  <si>
    <t xml:space="preserve">Keeping the best N branches alive at each step instead of committing to one. Used in tree search to survive ambiguity.</t>
  </si>
  <si>
    <t xml:space="preserve">Bi-encoder</t>
  </si>
  <si>
    <t xml:space="preserve">Encodes query and document separately, then compares vectors. Fast, indexable, less accurate.</t>
  </si>
  <si>
    <t xml:space="preserve">Best Match 25. Keyword ranking function combining term frequency saturation, inverse document frequency and length normalisation.</t>
  </si>
  <si>
    <t xml:space="preserve">A piece of a document, sized to fit an embedding model and to be retrieved independently.</t>
  </si>
  <si>
    <t xml:space="preserve">Chunk overlap</t>
  </si>
  <si>
    <t xml:space="preserve">Repeating the tail of one chunk at the head of the next so facts spanning a boundary survive whole.</t>
  </si>
  <si>
    <t xml:space="preserve">Context window</t>
  </si>
  <si>
    <t xml:space="preserve">Maximum tokens a model can process at once, shared between prompt and output.</t>
  </si>
  <si>
    <t xml:space="preserve">Dot product divided by both vector lengths. Measures direction, ignores magnitude. The standard text-retrieval score.</t>
  </si>
  <si>
    <t xml:space="preserve">Cross-encoder</t>
  </si>
  <si>
    <t xml:space="preserve">Reads query and document together in one pass and scores relevance. Accurate, slow, used for reranking.</t>
  </si>
  <si>
    <t xml:space="preserve">DCG / nDCG</t>
  </si>
  <si>
    <t xml:space="preserve">Discounted Cumulative Gain. Rewards relevant results near the top; normalised against the ideal ranking.</t>
  </si>
  <si>
    <t xml:space="preserve">Dense retrieval</t>
  </si>
  <si>
    <t xml:space="preserve">Retrieval by embedding similarity, as opposed to sparse/keyword retrieval.</t>
  </si>
  <si>
    <t xml:space="preserve">One coordinate of an embedding vector. Real models use 384-3,072.</t>
  </si>
  <si>
    <t xml:space="preserve">Sum of element-wise products. Equals cosine when both vectors are normalised.</t>
  </si>
  <si>
    <t xml:space="preserve">Embedding</t>
  </si>
  <si>
    <t xml:space="preserve">A vector representing a piece of text's meaning, positioned so similar meanings are nearby.</t>
  </si>
  <si>
    <t xml:space="preserve">Embedding model</t>
  </si>
  <si>
    <t xml:space="preserve">The model producing embeddings. Query and documents MUST use the same one.</t>
  </si>
  <si>
    <t xml:space="preserve">Faithfulness</t>
  </si>
  <si>
    <t xml:space="preserve">Whether every claim in a generated answer is supported by the retrieved context. The main hallucination metric.</t>
  </si>
  <si>
    <t xml:space="preserve">FinanceBench</t>
  </si>
  <si>
    <t xml:space="preserve">A financial-document QA benchmark. PageIndex reports 98.7% accuracy on it.</t>
  </si>
  <si>
    <t xml:space="preserve">Flat index</t>
  </si>
  <si>
    <t xml:space="preserve">Exact search comparing the query to every vector. Correct, linear cost, fine below ~10,000 vectors.</t>
  </si>
  <si>
    <t xml:space="preserve">Golden set</t>
  </si>
  <si>
    <t xml:space="preserve">Questions with known-correct source documents, used to evaluate retrieval. The foundation of all RAG measurement.</t>
  </si>
  <si>
    <t xml:space="preserve">Grounding</t>
  </si>
  <si>
    <t xml:space="preserve">Constraining an answer to supplied context rather than the model's own memory.</t>
  </si>
  <si>
    <t xml:space="preserve">Hallucination</t>
  </si>
  <si>
    <t xml:space="preserve">Fluent, confident output not supported by any source.</t>
  </si>
  <si>
    <t xml:space="preserve">HNSW</t>
  </si>
  <si>
    <t xml:space="preserve">Hierarchical Navigable Small World. Layered graph index: big jumps at the top, fine positioning below. The production default.</t>
  </si>
  <si>
    <t xml:space="preserve">Hybrid search</t>
  </si>
  <si>
    <t xml:space="preserve">Running dense and keyword retrieval together and fusing the results.</t>
  </si>
  <si>
    <t xml:space="preserve">Hypothetical Document Embeddings. Generate a fake answer, embed that instead of the question.</t>
  </si>
  <si>
    <t xml:space="preserve">Inverse Document Frequency. Rare terms carry more information than common ones.</t>
  </si>
  <si>
    <t xml:space="preserve">The data structure making retrieval fast — a vector index, or a document tree.</t>
  </si>
  <si>
    <t xml:space="preserve">Indexing phase</t>
  </si>
  <si>
    <t xml:space="preserve">Offline work done once per document: parse, chunk, embed, store (or: parse, build tree, summarise).</t>
  </si>
  <si>
    <t xml:space="preserve">IVF</t>
  </si>
  <si>
    <t xml:space="preserve">Inverted File index. Cluster vectors, then search only the clusters nearest the query.</t>
  </si>
  <si>
    <t xml:space="preserve">k1 (BM25)</t>
  </si>
  <si>
    <t xml:space="preserve">Controls how quickly repeated terms stop adding score. Typically 1.2-2.0.</t>
  </si>
  <si>
    <t xml:space="preserve">Leaf node</t>
  </si>
  <si>
    <t xml:space="preserve">A tree node with no children — the level at which document text actually lives.</t>
  </si>
  <si>
    <t xml:space="preserve">Lost in the middle</t>
  </si>
  <si>
    <t xml:space="preserve">The tendency of models to attend less to content in the middle of a long context.</t>
  </si>
  <si>
    <t xml:space="preserve">MMR</t>
  </si>
  <si>
    <t xml:space="preserve">Maximal Marginal Relevance. Selects results balancing relevance against diversity, to avoid near-duplicates.</t>
  </si>
  <si>
    <t xml:space="preserve">Mean Reciprocal Rank. 1 divided by the position of the first relevant result, averaged over queries.</t>
  </si>
  <si>
    <t xml:space="preserve">Multi-hop</t>
  </si>
  <si>
    <t xml:space="preserve">A question whose answer requires combining information from two or more places.</t>
  </si>
  <si>
    <t xml:space="preserve">Stable identifier for a tree node. What the navigating LLM returns, and what your code must validate.</t>
  </si>
  <si>
    <t xml:space="preserve">Normalisation (vector)</t>
  </si>
  <si>
    <t xml:space="preserve">Scaling a vector to length 1, keeping direction and discarding magnitude.</t>
  </si>
  <si>
    <t xml:space="preserve">Vectify AI's open-source (MIT) vectorless, reasoning-based RAG framework: hierarchical tree index plus LLM tree search.</t>
  </si>
  <si>
    <t xml:space="preserve">Parametric memory</t>
  </si>
  <si>
    <t xml:space="preserve">What a model knows from pretraining, as opposed to what it was given in the prompt.</t>
  </si>
  <si>
    <t xml:space="preserve">Parent-child retrieval</t>
  </si>
  <si>
    <t xml:space="preserve">Search over small chunks, return the larger parent section they came from.</t>
  </si>
  <si>
    <t xml:space="preserve">Fraction of the top K results that are relevant.</t>
  </si>
  <si>
    <t xml:space="preserve">Pruning</t>
  </si>
  <si>
    <t xml:space="preserve">Discarding a branch during tree search, with a stated reason.</t>
  </si>
  <si>
    <t xml:space="preserve">Quantisation</t>
  </si>
  <si>
    <t xml:space="preserve">Compressing vectors into smaller codes to cut memory, at a small recall cost.</t>
  </si>
  <si>
    <t xml:space="preserve">Adding synonyms or paraphrases to a query before searching.</t>
  </si>
  <si>
    <t xml:space="preserve">Query rewriting</t>
  </si>
  <si>
    <t xml:space="preserve">Turning a messy or conversational question into a clean standalone search query.</t>
  </si>
  <si>
    <t xml:space="preserve">Query routing</t>
  </si>
  <si>
    <t xml:space="preserve">Classifying a question first, then choosing a retrieval strategy — or none.</t>
  </si>
  <si>
    <t xml:space="preserve">RAG</t>
  </si>
  <si>
    <t xml:space="preserve">Retrieval-Augmented Generation. Fetch relevant text, then generate an answer conditioned on it.</t>
  </si>
  <si>
    <t xml:space="preserve">Reasoning-based retrieval</t>
  </si>
  <si>
    <t xml:space="preserve">Selecting sources by having a model reason over document structure rather than by measuring vector distance.</t>
  </si>
  <si>
    <t xml:space="preserve">Fraction of all relevant items that appear in the top K. Usually the metric that matters most for RAG.</t>
  </si>
  <si>
    <t xml:space="preserve">Rescoring retrieved candidates with a slower, more accurate model and keeping the best few.</t>
  </si>
  <si>
    <t xml:space="preserve">Retrieval phase</t>
  </si>
  <si>
    <t xml:space="preserve">Online work done per query: embed or reason, search, rank, assemble, generate.</t>
  </si>
  <si>
    <t xml:space="preserve">RRF</t>
  </si>
  <si>
    <t xml:space="preserve">Reciprocal Rank Fusion. Combines ranked lists as the sum of 1/(k + rank), discarding incomparable scores.</t>
  </si>
  <si>
    <t xml:space="preserve">Semantic chunking</t>
  </si>
  <si>
    <t xml:space="preserve">Splitting where the topic changes, detected by similarity between consecutive sentences.</t>
  </si>
  <si>
    <t xml:space="preserve">Semantic search</t>
  </si>
  <si>
    <t xml:space="preserve">Search by meaning rather than by literal string match.</t>
  </si>
  <si>
    <t xml:space="preserve">Similarity threshold</t>
  </si>
  <si>
    <t xml:space="preserve">A minimum score below which results are discarded, so irrelevant chunks are not retrieved.</t>
  </si>
  <si>
    <t xml:space="preserve">Sparse retrieval</t>
  </si>
  <si>
    <t xml:space="preserve">Keyword-based retrieval such as BM25, where the representation is mostly zeros.</t>
  </si>
  <si>
    <t xml:space="preserve">Stemming</t>
  </si>
  <si>
    <t xml:space="preserve">Reducing words to a common root so approve, approved and approval match.</t>
  </si>
  <si>
    <t xml:space="preserve">Structure-aware chunking</t>
  </si>
  <si>
    <t xml:space="preserve">Splitting on the document's own headings rather than on a size budget.</t>
  </si>
  <si>
    <t xml:space="preserve">Summary (node)</t>
  </si>
  <si>
    <t xml:space="preserve">Short description of a tree node. In vectorless RAG it IS the retrieval signal, so its quality caps retrieval quality.</t>
  </si>
  <si>
    <t xml:space="preserve">Term-document matrix</t>
  </si>
  <si>
    <t xml:space="preserve">Grid of term counts per document. The classical representation, and what sheet 07 builds.</t>
  </si>
  <si>
    <t xml:space="preserve">Token</t>
  </si>
  <si>
    <t xml:space="preserve">The unit a model actually reads — roughly 0.75 of an English word.</t>
  </si>
  <si>
    <t xml:space="preserve">How many results to retrieve. The most-tuned and least-understood knob in RAG.</t>
  </si>
  <si>
    <t xml:space="preserve">Tree index</t>
  </si>
  <si>
    <t xml:space="preserve">Hierarchical index mirroring a document's structure: nodes with titles, page ranges, summaries and children.</t>
  </si>
  <si>
    <t xml:space="preserve">Navigating a tree index by having an LLM choose which nodes to open at each level.</t>
  </si>
  <si>
    <t xml:space="preserve">Vector database</t>
  </si>
  <si>
    <t xml:space="preserve">Storage and index for embeddings, with metadata filtering. Pinecone, Weaviate, Qdrant, Chroma, pgvector.</t>
  </si>
  <si>
    <t xml:space="preserve">Vectorless RAG</t>
  </si>
  <si>
    <t xml:space="preserve">Retrieval without embeddings or a vector database, using document structure and LLM reasoning instead.</t>
  </si>
  <si>
    <t xml:space="preserve">32  ·  A TEN-DAY PLAN TO BUILD BOTH FOR REAL</t>
  </si>
  <si>
    <t xml:space="preserve">The spreadsheet taught you the mechanism. This is how to turn it into working code.</t>
  </si>
  <si>
    <t xml:space="preserve">Build it in this order, and resist the urge to skip ahead. Days 1-2 in particular feel like overhead and are the reason everything after them is measurable rather than guessed at. Use whatever stack you like; the sequence is what matters.</t>
  </si>
  <si>
    <t xml:space="preserve">Day</t>
  </si>
  <si>
    <t xml:space="preserve">What to build</t>
  </si>
  <si>
    <t xml:space="preserve">Why here</t>
  </si>
  <si>
    <t xml:space="preserve">Get a corpus</t>
  </si>
  <si>
    <t xml:space="preserve">Pick 20-50 real documents you care about. Not a toy dataset — your own PDFs, your own wiki. Parse them to text and READ fifty random parsed passages.</t>
  </si>
  <si>
    <t xml:space="preserve">You cannot judge retrieval on data you do not know. And you will find parsing bugs on day 1 that would otherwise masquerade as retrieval bugs on day 8.</t>
  </si>
  <si>
    <t xml:space="preserve">Build the golden set</t>
  </si>
  <si>
    <t xml:space="preserve">30-50 questions with the correct SOURCE labelled for each. Include 5 unanswerable ones and 5 multi-hop ones.</t>
  </si>
  <si>
    <t xml:space="preserve">Do this before you build anything. Every later decision becomes a measurement instead of an argument.</t>
  </si>
  <si>
    <t xml:space="preserve">Baseline: BM25 only</t>
  </si>
  <si>
    <t xml:space="preserve">Elasticsearch, or rank_bm25 in twenty lines of Python. Score it on the golden set.</t>
  </si>
  <si>
    <t xml:space="preserve">Your floor. If nothing later beats this, you have learned something valuable and cheap.</t>
  </si>
  <si>
    <t xml:space="preserve">Add dense retrieval</t>
  </si>
  <si>
    <t xml:space="preserve">Chunk at 400 tokens with 50 overlap. Embed with a small model. Use a flat index — you do not need a vector database yet.</t>
  </si>
  <si>
    <t xml:space="preserve">Compare against day 3 on the same questions. This is the first real evidence about YOUR corpus.</t>
  </si>
  <si>
    <t xml:space="preserve">Hybrid + RRF</t>
  </si>
  <si>
    <t xml:space="preserve">Fuse the two rankings with k = 60. Re-score.</t>
  </si>
  <si>
    <t xml:space="preserve">Usually a solid gain for very little code. Sheet 15.</t>
  </si>
  <si>
    <t xml:space="preserve">Add a cross-encoder over the top 50, keep 5. Re-score.</t>
  </si>
  <si>
    <t xml:space="preserve">Typically the biggest single jump in the whole project. Sheet 16.</t>
  </si>
  <si>
    <t xml:space="preserve">Generation and refusal</t>
  </si>
  <si>
    <t xml:space="preserve">System prompt with an exact refusal string and numbered citations. Test the unanswerable questions specifically.</t>
  </si>
  <si>
    <t xml:space="preserve">The refusal path is where reputational damage lives, and where it is never tested. Sheet 19.</t>
  </si>
  <si>
    <t xml:space="preserve">Build a tree index</t>
  </si>
  <si>
    <t xml:space="preserve">Take your 5 longest, most structured documents. Extract headings into a node tree; write a summary per node with an LLM. Use PageIndex, or roll your own — the schema is on sheet 22.</t>
  </si>
  <si>
    <t xml:space="preserve">Do it on documents where structure is real. Summaries are the whole game; iterate on that prompt.</t>
  </si>
  <si>
    <t xml:space="preserve">Implement the hop prompt from sheet 23. Beam width 2. Cap the depth. VALIDATE that returned node_ids exist.</t>
  </si>
  <si>
    <t xml:space="preserve">Run your multi-hop golden questions through both systems and compare. This is the experiment the whole course was building toward.</t>
  </si>
  <si>
    <t xml:space="preserve">Decide and route</t>
  </si>
  <si>
    <t xml:space="preserve">Compare cost, latency and accuracy per question TYPE, not in aggregate. Route simple lookups to hybrid vector search and hard structural questions to tree search.</t>
  </si>
  <si>
    <t xml:space="preserve">Aggregate numbers hide the answer. The win almost always comes from routing, not from picking a side.</t>
  </si>
  <si>
    <t xml:space="preserve">Things worth reading next</t>
  </si>
  <si>
    <t xml:space="preserve">Where</t>
  </si>
  <si>
    <t xml:space="preserve">PageIndex source, cookbooks and the tree schema</t>
  </si>
  <si>
    <t xml:space="preserve">github.com/VectifyAI/PageIndex  (MIT licensed)</t>
  </si>
  <si>
    <t xml:space="preserve">The PageIndex framework write-up</t>
  </si>
  <si>
    <t xml:space="preserve">pageindex.ai/blog/pageindex-intro</t>
  </si>
  <si>
    <t xml:space="preserve">RAG evaluation frameworks</t>
  </si>
  <si>
    <t xml:space="preserve">RAGAS, TruLens, DeepEval — for automating sheet 26</t>
  </si>
  <si>
    <t xml:space="preserve">Embedding model comparison</t>
  </si>
  <si>
    <t xml:space="preserve">The MTEB leaderboard on Hugging Face</t>
  </si>
  <si>
    <t xml:space="preserve">Rerankers</t>
  </si>
  <si>
    <t xml:space="preserve">Cohere Rerank, Jina Reranker, BGE-reranker, mixedbread</t>
  </si>
  <si>
    <t xml:space="preserve">Vector databases</t>
  </si>
  <si>
    <t xml:space="preserve">pgvector if you already run Postgres; Qdrant, Weaviate, Chroma, Pinecone otherwise</t>
  </si>
  <si>
    <t xml:space="preserve">BM25 and classical IR</t>
  </si>
  <si>
    <t xml:space="preserve">Robertson &amp; Zaragoza, "The Probabilistic Relevance Framework" — where BM25 comes from, and still the clearest treatment</t>
  </si>
  <si>
    <t xml:space="preserve">THE HABIT WORTH BUILDING — One last thing, and it is the thing most likely to matter. The teams that succeed with RAG are not the ones with the cleverest architecture — they are the ones who read their retrieval output. Print the retrieved chunks for twenty real questions and read them as a human. You will find the bug in an afternoon. Dashboards tell you THAT something is wrong; reading tells you WHY.</t>
  </si>
</sst>
</file>

<file path=xl/styles.xml><?xml version="1.0" encoding="utf-8"?>
<styleSheet xmlns="http://schemas.openxmlformats.org/spreadsheetml/2006/main">
  <numFmts count="15">
    <numFmt numFmtId="164" formatCode="General"/>
    <numFmt numFmtId="165" formatCode="0"/>
    <numFmt numFmtId="166" formatCode="0.00"/>
    <numFmt numFmtId="167" formatCode="General"/>
    <numFmt numFmtId="168" formatCode="0.000"/>
    <numFmt numFmtId="169" formatCode="0.0000"/>
    <numFmt numFmtId="170" formatCode="0.0\°"/>
    <numFmt numFmtId="171" formatCode="#,##0"/>
    <numFmt numFmtId="172" formatCode="0.0"/>
    <numFmt numFmtId="173" formatCode="#,##0\x"/>
    <numFmt numFmtId="174" formatCode="0.00000"/>
    <numFmt numFmtId="175" formatCode="0.0%"/>
    <numFmt numFmtId="176" formatCode="\$#,##0.00"/>
    <numFmt numFmtId="177" formatCode="\$0.000000"/>
    <numFmt numFmtId="178" formatCode="\$#,##0"/>
  </numFmts>
  <fonts count="24">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FFFFFF"/>
      <name val="Arial"/>
      <family val="0"/>
      <charset val="1"/>
    </font>
    <font>
      <b val="true"/>
      <sz val="11"/>
      <color rgb="FF1F3864"/>
      <name val="Arial"/>
      <family val="0"/>
      <charset val="1"/>
    </font>
    <font>
      <sz val="10"/>
      <color rgb="FF000000"/>
      <name val="Arial"/>
      <family val="0"/>
      <charset val="1"/>
    </font>
    <font>
      <b val="true"/>
      <sz val="10"/>
      <color rgb="FF000000"/>
      <name val="Arial"/>
      <family val="0"/>
      <charset val="1"/>
    </font>
    <font>
      <b val="true"/>
      <sz val="10"/>
      <color rgb="FF0000FF"/>
      <name val="Arial"/>
      <family val="0"/>
      <charset val="1"/>
    </font>
    <font>
      <i val="true"/>
      <sz val="9"/>
      <color rgb="FF000000"/>
      <name val="Arial"/>
      <family val="0"/>
      <charset val="1"/>
    </font>
    <font>
      <sz val="10"/>
      <color rgb="FF5A3E00"/>
      <name val="Arial"/>
      <family val="0"/>
      <charset val="1"/>
    </font>
    <font>
      <b val="true"/>
      <sz val="9"/>
      <color rgb="FFFFFFFF"/>
      <name val="Arial"/>
      <family val="0"/>
      <charset val="1"/>
    </font>
    <font>
      <b val="true"/>
      <sz val="11"/>
      <color rgb="FFFFFFFF"/>
      <name val="Arial"/>
      <family val="0"/>
      <charset val="1"/>
    </font>
    <font>
      <sz val="9"/>
      <color rgb="FF000000"/>
      <name val="Arial"/>
      <family val="0"/>
      <charset val="1"/>
    </font>
    <font>
      <sz val="10"/>
      <color rgb="FF1F3864"/>
      <name val="Arial"/>
      <family val="0"/>
      <charset val="1"/>
    </font>
    <font>
      <sz val="10"/>
      <color rgb="FFC55A11"/>
      <name val="Arial"/>
      <family val="0"/>
      <charset val="1"/>
    </font>
    <font>
      <i val="true"/>
      <sz val="8"/>
      <color rgb="FF000000"/>
      <name val="Arial"/>
      <family val="0"/>
      <charset val="1"/>
    </font>
    <font>
      <sz val="6"/>
      <color rgb="FF808080"/>
      <name val="Arial"/>
      <family val="0"/>
      <charset val="1"/>
    </font>
    <font>
      <sz val="9"/>
      <color rgb="FF0000FF"/>
      <name val="Arial"/>
      <family val="0"/>
      <charset val="1"/>
    </font>
    <font>
      <b val="true"/>
      <sz val="9"/>
      <color rgb="FF000000"/>
      <name val="Arial"/>
      <family val="0"/>
      <charset val="1"/>
    </font>
    <font>
      <i val="true"/>
      <sz val="8"/>
      <color rgb="FF808080"/>
      <name val="Arial"/>
      <family val="0"/>
      <charset val="1"/>
    </font>
    <font>
      <sz val="8"/>
      <color rgb="FF808080"/>
      <name val="Arial"/>
      <family val="0"/>
      <charset val="1"/>
    </font>
    <font>
      <sz val="9"/>
      <name val="Courier New"/>
      <family val="0"/>
      <charset val="1"/>
    </font>
  </fonts>
  <fills count="12">
    <fill>
      <patternFill patternType="none"/>
    </fill>
    <fill>
      <patternFill patternType="gray125"/>
    </fill>
    <fill>
      <patternFill patternType="solid">
        <fgColor rgb="FF1F3864"/>
        <bgColor rgb="FF333333"/>
      </patternFill>
    </fill>
    <fill>
      <patternFill patternType="solid">
        <fgColor rgb="FF2F5597"/>
        <bgColor rgb="FF1F3864"/>
      </patternFill>
    </fill>
    <fill>
      <patternFill patternType="solid">
        <fgColor rgb="FFD9E2F3"/>
        <bgColor rgb="FFE2EFDA"/>
      </patternFill>
    </fill>
    <fill>
      <patternFill patternType="solid">
        <fgColor rgb="FFFFF2CC"/>
        <bgColor rgb="FFFFF4D6"/>
      </patternFill>
    </fill>
    <fill>
      <patternFill patternType="solid">
        <fgColor rgb="FFFFF4D6"/>
        <bgColor rgb="FFFFF2CC"/>
      </patternFill>
    </fill>
    <fill>
      <patternFill patternType="solid">
        <fgColor rgb="FFFFFFFF"/>
        <bgColor rgb="FFF2F2F2"/>
      </patternFill>
    </fill>
    <fill>
      <patternFill patternType="solid">
        <fgColor rgb="FFE2EFDA"/>
        <bgColor rgb="FFF2F2F2"/>
      </patternFill>
    </fill>
    <fill>
      <patternFill patternType="solid">
        <fgColor rgb="FFFCE4E4"/>
        <bgColor rgb="FFF2F2F2"/>
      </patternFill>
    </fill>
    <fill>
      <patternFill patternType="solid">
        <fgColor rgb="FFC55A11"/>
        <bgColor rgb="FF993300"/>
      </patternFill>
    </fill>
    <fill>
      <patternFill patternType="solid">
        <fgColor rgb="FFF2F2F2"/>
        <bgColor rgb="FFFFF4D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true" applyAlignment="true" applyProtection="false">
      <alignment horizontal="left" vertical="top" textRotation="0" wrapText="true" indent="1"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true" applyProtection="false">
      <alignment horizontal="left" vertical="center" textRotation="0" wrapText="false" indent="1"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left" vertical="center" textRotation="0" wrapText="false" indent="1" shrinkToFit="false"/>
      <protection locked="true" hidden="false"/>
    </xf>
    <xf numFmtId="166" fontId="9" fillId="5" borderId="1" xfId="0" applyFont="true" applyBorder="true" applyAlignment="true" applyProtection="false">
      <alignment horizontal="left" vertical="center" textRotation="0" wrapText="false" indent="1" shrinkToFit="false"/>
      <protection locked="true" hidden="false"/>
    </xf>
    <xf numFmtId="164" fontId="11" fillId="6" borderId="2" xfId="0" applyFont="true" applyBorder="true" applyAlignment="true" applyProtection="false">
      <alignment horizontal="left" vertical="top" textRotation="0" wrapText="true" indent="1"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false" indent="1" shrinkToFit="false"/>
      <protection locked="true" hidden="false"/>
    </xf>
    <xf numFmtId="164" fontId="7" fillId="0" borderId="1" xfId="0" applyFont="true" applyBorder="true" applyAlignment="true" applyProtection="false">
      <alignment horizontal="left" vertical="top" textRotation="0" wrapText="true" indent="1" shrinkToFit="false"/>
      <protection locked="true" hidden="false"/>
    </xf>
    <xf numFmtId="164" fontId="7" fillId="7" borderId="1" xfId="0" applyFont="true" applyBorder="true" applyAlignment="true" applyProtection="false">
      <alignment horizontal="left" vertical="top" textRotation="0" wrapText="false" indent="1" shrinkToFit="false"/>
      <protection locked="true" hidden="false"/>
    </xf>
    <xf numFmtId="164" fontId="7" fillId="6" borderId="1" xfId="0" applyFont="true" applyBorder="true" applyAlignment="true" applyProtection="false">
      <alignment horizontal="left" vertical="top" textRotation="0" wrapText="false" indent="1" shrinkToFit="false"/>
      <protection locked="true" hidden="false"/>
    </xf>
    <xf numFmtId="164" fontId="7" fillId="8" borderId="1" xfId="0" applyFont="true" applyBorder="true" applyAlignment="true" applyProtection="false">
      <alignment horizontal="left" vertical="top" textRotation="0" wrapText="false" indent="1" shrinkToFit="false"/>
      <protection locked="true" hidden="false"/>
    </xf>
    <xf numFmtId="164" fontId="7" fillId="9" borderId="1" xfId="0" applyFont="true" applyBorder="true" applyAlignment="true" applyProtection="false">
      <alignment horizontal="left" vertical="top" textRotation="0" wrapText="false" indent="1" shrinkToFit="false"/>
      <protection locked="true" hidden="false"/>
    </xf>
    <xf numFmtId="164" fontId="7" fillId="0" borderId="1" xfId="0" applyFont="true" applyBorder="true" applyAlignment="true" applyProtection="false">
      <alignment horizontal="left" vertical="top" textRotation="0" wrapText="false" indent="1"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4" fontId="13" fillId="10" borderId="0"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left" vertical="top" textRotation="0" wrapText="false" indent="1" shrinkToFit="false"/>
      <protection locked="true" hidden="false"/>
    </xf>
    <xf numFmtId="164" fontId="14" fillId="0" borderId="1" xfId="0" applyFont="true" applyBorder="true" applyAlignment="true" applyProtection="false">
      <alignment horizontal="left" vertical="top" textRotation="0" wrapText="true" indent="1" shrinkToFit="false"/>
      <protection locked="true" hidden="false"/>
    </xf>
    <xf numFmtId="164" fontId="14" fillId="11" borderId="1" xfId="0" applyFont="true" applyBorder="true" applyAlignment="true" applyProtection="false">
      <alignment horizontal="left" vertical="top" textRotation="0" wrapText="false" indent="1" shrinkToFit="false"/>
      <protection locked="true" hidden="false"/>
    </xf>
    <xf numFmtId="164" fontId="14" fillId="11" borderId="1" xfId="0" applyFont="true" applyBorder="true" applyAlignment="true" applyProtection="false">
      <alignment horizontal="left" vertical="top" textRotation="0" wrapText="true" indent="1" shrinkToFit="false"/>
      <protection locked="true" hidden="false"/>
    </xf>
    <xf numFmtId="164" fontId="8" fillId="0" borderId="1" xfId="0" applyFont="true" applyBorder="true" applyAlignment="true" applyProtection="false">
      <alignment horizontal="left" vertical="top" textRotation="0" wrapText="false" indent="1" shrinkToFit="false"/>
      <protection locked="true" hidden="false"/>
    </xf>
    <xf numFmtId="164" fontId="8" fillId="6" borderId="1" xfId="0" applyFont="true" applyBorder="true" applyAlignment="true" applyProtection="false">
      <alignment horizontal="left" vertical="top" textRotation="0" wrapText="false" indent="1" shrinkToFit="false"/>
      <protection locked="true" hidden="false"/>
    </xf>
    <xf numFmtId="164" fontId="7" fillId="6" borderId="1" xfId="0" applyFont="true" applyBorder="true" applyAlignment="true" applyProtection="false">
      <alignment horizontal="left" vertical="top" textRotation="0" wrapText="true" indent="1" shrinkToFit="false"/>
      <protection locked="true" hidden="false"/>
    </xf>
    <xf numFmtId="164" fontId="15" fillId="9" borderId="2" xfId="0" applyFont="true" applyBorder="true" applyAlignment="true" applyProtection="false">
      <alignment horizontal="left" vertical="top" textRotation="0" wrapText="true" indent="1" shrinkToFit="false"/>
      <protection locked="true" hidden="false"/>
    </xf>
    <xf numFmtId="164" fontId="7" fillId="9" borderId="1" xfId="0" applyFont="true" applyBorder="true" applyAlignment="true" applyProtection="false">
      <alignment horizontal="left" vertical="top" textRotation="0" wrapText="true" indent="1" shrinkToFit="false"/>
      <protection locked="true" hidden="false"/>
    </xf>
    <xf numFmtId="164" fontId="7" fillId="8" borderId="1" xfId="0" applyFont="true" applyBorder="true" applyAlignment="true" applyProtection="false">
      <alignment horizontal="left" vertical="top" textRotation="0" wrapText="true" indent="1"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xf numFmtId="164" fontId="8" fillId="8" borderId="1" xfId="0" applyFont="true" applyBorder="true" applyAlignment="true" applyProtection="false">
      <alignment horizontal="left" vertical="top" textRotation="0" wrapText="false" indent="1" shrinkToFit="false"/>
      <protection locked="true" hidden="false"/>
    </xf>
    <xf numFmtId="164" fontId="15" fillId="4" borderId="2" xfId="0" applyFont="true" applyBorder="true" applyAlignment="true" applyProtection="false">
      <alignment horizontal="left" vertical="top" textRotation="0" wrapText="true" indent="1"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1" xfId="0" applyFont="true" applyBorder="true" applyAlignment="true" applyProtection="false">
      <alignment horizontal="left" vertical="center" textRotation="0" wrapText="false" indent="1" shrinkToFit="false"/>
      <protection locked="true" hidden="false"/>
    </xf>
    <xf numFmtId="164" fontId="14" fillId="0" borderId="1" xfId="0" applyFont="true" applyBorder="true" applyAlignment="true" applyProtection="false">
      <alignment horizontal="left" vertical="center" textRotation="0" wrapText="false" indent="1" shrinkToFit="false"/>
      <protection locked="true" hidden="false"/>
    </xf>
    <xf numFmtId="167" fontId="20" fillId="5" borderId="1" xfId="0" applyFont="true" applyBorder="true" applyAlignment="true" applyProtection="false">
      <alignment horizontal="center" vertical="center" textRotation="0" wrapText="false" indent="0" shrinkToFit="false"/>
      <protection locked="true" hidden="false"/>
    </xf>
    <xf numFmtId="167" fontId="14" fillId="0"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7" fontId="20" fillId="4" borderId="1"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left" vertical="top" textRotation="0" wrapText="false" indent="1" shrinkToFit="false"/>
      <protection locked="true" hidden="false"/>
    </xf>
    <xf numFmtId="167" fontId="7" fillId="5" borderId="1" xfId="0" applyFont="true" applyBorder="true" applyAlignment="true" applyProtection="false">
      <alignment horizontal="center" vertical="top" textRotation="0" wrapText="false" indent="0" shrinkToFit="false"/>
      <protection locked="true" hidden="false"/>
    </xf>
    <xf numFmtId="168" fontId="7" fillId="5" borderId="1" xfId="0" applyFont="true" applyBorder="true" applyAlignment="true" applyProtection="false">
      <alignment horizontal="left" vertical="top" textRotation="0" wrapText="true" indent="1" shrinkToFit="false"/>
      <protection locked="true" hidden="false"/>
    </xf>
    <xf numFmtId="168" fontId="7" fillId="0" borderId="1" xfId="0" applyFont="true" applyBorder="true" applyAlignment="true" applyProtection="false">
      <alignment horizontal="left" vertical="top" textRotation="0" wrapText="true" indent="1" shrinkToFit="false"/>
      <protection locked="true" hidden="false"/>
    </xf>
    <xf numFmtId="168" fontId="7" fillId="5" borderId="1" xfId="0" applyFont="true" applyBorder="true" applyAlignment="true" applyProtection="false">
      <alignment horizontal="center" vertical="top" textRotation="0" wrapText="false" indent="0" shrinkToFit="false"/>
      <protection locked="true" hidden="false"/>
    </xf>
    <xf numFmtId="168" fontId="7" fillId="0"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9" fontId="7" fillId="8" borderId="1" xfId="0" applyFont="true" applyBorder="true" applyAlignment="true" applyProtection="false">
      <alignment horizontal="center" vertical="top" textRotation="0" wrapText="false" indent="0" shrinkToFit="false"/>
      <protection locked="true" hidden="false"/>
    </xf>
    <xf numFmtId="170" fontId="7" fillId="0" borderId="1" xfId="0" applyFont="true" applyBorder="true" applyAlignment="true" applyProtection="false">
      <alignment horizontal="center" vertical="top" textRotation="0" wrapText="false" indent="0" shrinkToFit="false"/>
      <protection locked="true" hidden="false"/>
    </xf>
    <xf numFmtId="168" fontId="7" fillId="8" borderId="1" xfId="0" applyFont="true" applyBorder="true" applyAlignment="true" applyProtection="false">
      <alignment horizontal="center" vertical="top" textRotation="0" wrapText="false" indent="0" shrinkToFit="false"/>
      <protection locked="true" hidden="false"/>
    </xf>
    <xf numFmtId="169" fontId="7" fillId="0" borderId="1" xfId="0" applyFont="true" applyBorder="true" applyAlignment="true" applyProtection="false">
      <alignment horizontal="center" vertical="top"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1" fontId="9" fillId="5" borderId="1" xfId="0" applyFont="true" applyBorder="true" applyAlignment="true" applyProtection="false">
      <alignment horizontal="left" vertical="center" textRotation="0" wrapText="false" indent="1" shrinkToFit="false"/>
      <protection locked="true" hidden="false"/>
    </xf>
    <xf numFmtId="171" fontId="7" fillId="0" borderId="1" xfId="0" applyFont="true" applyBorder="true" applyAlignment="true" applyProtection="false">
      <alignment horizontal="right" vertical="top" textRotation="0" wrapText="false" indent="0" shrinkToFit="false"/>
      <protection locked="true" hidden="false"/>
    </xf>
    <xf numFmtId="168" fontId="7" fillId="0" borderId="1" xfId="0" applyFont="true" applyBorder="true" applyAlignment="true" applyProtection="false">
      <alignment horizontal="right" vertical="top" textRotation="0" wrapText="false" indent="0" shrinkToFit="false"/>
      <protection locked="true" hidden="false"/>
    </xf>
    <xf numFmtId="172" fontId="7" fillId="0" borderId="1" xfId="0" applyFont="true" applyBorder="true" applyAlignment="true" applyProtection="false">
      <alignment horizontal="right" vertical="top" textRotation="0" wrapText="false" indent="0" shrinkToFit="false"/>
      <protection locked="true" hidden="false"/>
    </xf>
    <xf numFmtId="173" fontId="7" fillId="8" borderId="1" xfId="0" applyFont="true" applyBorder="true" applyAlignment="true" applyProtection="false">
      <alignment horizontal="right" vertical="top" textRotation="0" wrapText="false" indent="0" shrinkToFit="false"/>
      <protection locked="true" hidden="false"/>
    </xf>
    <xf numFmtId="172" fontId="8" fillId="4" borderId="1" xfId="0" applyFont="true" applyBorder="true" applyAlignment="true" applyProtection="false">
      <alignment horizontal="center" vertical="bottom" textRotation="0" wrapText="false" indent="0" shrinkToFit="false"/>
      <protection locked="true" hidden="false"/>
    </xf>
    <xf numFmtId="174" fontId="7" fillId="0" borderId="1" xfId="0" applyFont="true" applyBorder="true" applyAlignment="true" applyProtection="false">
      <alignment horizontal="center" vertical="top" textRotation="0" wrapText="false" indent="0" shrinkToFit="false"/>
      <protection locked="true" hidden="false"/>
    </xf>
    <xf numFmtId="166" fontId="9" fillId="5" borderId="1" xfId="0" applyFont="true" applyBorder="true" applyAlignment="true" applyProtection="false">
      <alignment horizontal="center" vertical="top" textRotation="0" wrapText="false" indent="0" shrinkToFit="false"/>
      <protection locked="true" hidden="false"/>
    </xf>
    <xf numFmtId="164" fontId="15" fillId="8" borderId="2" xfId="0" applyFont="true" applyBorder="true" applyAlignment="true" applyProtection="false">
      <alignment horizontal="left" vertical="top" textRotation="0" wrapText="true" indent="1" shrinkToFit="false"/>
      <protection locked="true" hidden="false"/>
    </xf>
    <xf numFmtId="171" fontId="9" fillId="5" borderId="1" xfId="0" applyFont="true" applyBorder="true" applyAlignment="true" applyProtection="false">
      <alignment horizontal="right" vertical="bottom" textRotation="0" wrapText="false" indent="0" shrinkToFit="false"/>
      <protection locked="true" hidden="false"/>
    </xf>
    <xf numFmtId="171" fontId="7" fillId="4" borderId="1" xfId="0" applyFont="true" applyBorder="true" applyAlignment="true" applyProtection="false">
      <alignment horizontal="right" vertical="top" textRotation="0" wrapText="false" indent="0" shrinkToFit="false"/>
      <protection locked="true" hidden="false"/>
    </xf>
    <xf numFmtId="171" fontId="7" fillId="8" borderId="1" xfId="0" applyFont="true" applyBorder="true" applyAlignment="true" applyProtection="false">
      <alignment horizontal="right" vertical="top" textRotation="0" wrapText="false" indent="0" shrinkToFit="false"/>
      <protection locked="true" hidden="false"/>
    </xf>
    <xf numFmtId="164" fontId="23" fillId="11" borderId="2" xfId="0" applyFont="true" applyBorder="true" applyAlignment="true" applyProtection="false">
      <alignment horizontal="left" vertical="top" textRotation="0" wrapText="true" indent="1" shrinkToFit="false"/>
      <protection locked="true" hidden="false"/>
    </xf>
    <xf numFmtId="175" fontId="7" fillId="0" borderId="1" xfId="0" applyFont="true" applyBorder="true" applyAlignment="true" applyProtection="false">
      <alignment horizontal="center" vertical="top" textRotation="0" wrapText="false" indent="0" shrinkToFit="false"/>
      <protection locked="true" hidden="false"/>
    </xf>
    <xf numFmtId="175" fontId="7" fillId="8"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5" fontId="7" fillId="8" borderId="1" xfId="0" applyFont="true" applyBorder="true" applyAlignment="true" applyProtection="false">
      <alignment horizontal="center" vertical="top" textRotation="0" wrapText="false" indent="0" shrinkToFit="false"/>
      <protection locked="true" hidden="false"/>
    </xf>
    <xf numFmtId="168" fontId="9" fillId="5" borderId="1" xfId="0" applyFont="true" applyBorder="true" applyAlignment="true" applyProtection="false">
      <alignment horizontal="right" vertical="bottom" textRotation="0" wrapText="false" indent="0" shrinkToFit="false"/>
      <protection locked="true" hidden="false"/>
    </xf>
    <xf numFmtId="166" fontId="9" fillId="5" borderId="1" xfId="0" applyFont="true" applyBorder="true" applyAlignment="true" applyProtection="false">
      <alignment horizontal="right" vertical="bottom" textRotation="0" wrapText="false" indent="0" shrinkToFit="false"/>
      <protection locked="true" hidden="false"/>
    </xf>
    <xf numFmtId="165" fontId="9" fillId="5" borderId="1" xfId="0" applyFont="true" applyBorder="true" applyAlignment="true" applyProtection="false">
      <alignment horizontal="right" vertical="bottom" textRotation="0" wrapText="false" indent="0" shrinkToFit="false"/>
      <protection locked="true" hidden="false"/>
    </xf>
    <xf numFmtId="176" fontId="7" fillId="0" borderId="1" xfId="0" applyFont="true" applyBorder="true" applyAlignment="true" applyProtection="false">
      <alignment horizontal="right" vertical="top" textRotation="0" wrapText="false" indent="0" shrinkToFit="false"/>
      <protection locked="true" hidden="false"/>
    </xf>
    <xf numFmtId="176" fontId="7" fillId="6" borderId="1" xfId="0" applyFont="true" applyBorder="true" applyAlignment="true" applyProtection="false">
      <alignment horizontal="right" vertical="top" textRotation="0" wrapText="false" indent="0" shrinkToFit="false"/>
      <protection locked="true" hidden="false"/>
    </xf>
    <xf numFmtId="177" fontId="7" fillId="0" borderId="1" xfId="0" applyFont="true" applyBorder="true" applyAlignment="true" applyProtection="false">
      <alignment horizontal="right" vertical="top" textRotation="0" wrapText="false" indent="0" shrinkToFit="false"/>
      <protection locked="true" hidden="false"/>
    </xf>
    <xf numFmtId="178" fontId="7" fillId="4" borderId="1" xfId="0" applyFont="true" applyBorder="true" applyAlignment="true" applyProtection="false">
      <alignment horizontal="right"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7" fillId="8"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7" fillId="9"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4D6"/>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CE4E4"/>
      <rgbColor rgb="FF3366FF"/>
      <rgbColor rgb="FF33CCCC"/>
      <rgbColor rgb="FF99CC00"/>
      <rgbColor rgb="FFFFCC00"/>
      <rgbColor rgb="FFFF9900"/>
      <rgbColor rgb="FFC55A11"/>
      <rgbColor rgb="FF666699"/>
      <rgbColor rgb="FF969696"/>
      <rgbColor rgb="FF1F3864"/>
      <rgbColor rgb="FF339966"/>
      <rgbColor rgb="FF003300"/>
      <rgbColor rgb="FF5A3E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J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9" min="3" style="0" width="17"/>
    <col collapsed="false" customWidth="true" hidden="false" outlineLevel="0" max="10" min="10" style="0" width="14"/>
  </cols>
  <sheetData>
    <row r="2" customFormat="false" ht="30" hidden="false" customHeight="true" outlineLevel="0" collapsed="false">
      <c r="B2" s="1" t="s">
        <v>0</v>
      </c>
      <c r="C2" s="1"/>
      <c r="D2" s="1"/>
      <c r="E2" s="1"/>
      <c r="F2" s="1"/>
      <c r="G2" s="1"/>
      <c r="H2" s="1"/>
      <c r="I2" s="1"/>
      <c r="J2" s="1"/>
    </row>
    <row r="3" customFormat="false" ht="19.5" hidden="false" customHeight="true" outlineLevel="0" collapsed="false">
      <c r="B3" s="2" t="s">
        <v>1</v>
      </c>
      <c r="C3" s="2"/>
      <c r="D3" s="2"/>
      <c r="E3" s="2"/>
      <c r="F3" s="2"/>
      <c r="G3" s="2"/>
      <c r="H3" s="2"/>
      <c r="I3" s="2"/>
      <c r="J3" s="2"/>
    </row>
    <row r="4" customFormat="false" ht="6.75" hidden="false" customHeight="true" outlineLevel="0" collapsed="false"/>
    <row r="5" customFormat="false" ht="21.75" hidden="false" customHeight="true" outlineLevel="0" collapsed="false">
      <c r="B5" s="3" t="s">
        <v>2</v>
      </c>
      <c r="C5" s="3"/>
      <c r="D5" s="3"/>
      <c r="E5" s="3"/>
      <c r="F5" s="3"/>
      <c r="G5" s="3"/>
      <c r="H5" s="3"/>
      <c r="I5" s="3"/>
      <c r="J5" s="3"/>
    </row>
    <row r="6" customFormat="false" ht="42.75" hidden="false" customHeight="true" outlineLevel="0" collapsed="false">
      <c r="B6" s="4" t="s">
        <v>3</v>
      </c>
      <c r="C6" s="4"/>
      <c r="D6" s="4"/>
      <c r="E6" s="4"/>
      <c r="F6" s="4"/>
      <c r="G6" s="4"/>
      <c r="H6" s="4"/>
      <c r="I6" s="4"/>
      <c r="J6" s="4"/>
    </row>
    <row r="8" customFormat="false" ht="18" hidden="false" customHeight="true" outlineLevel="0" collapsed="false">
      <c r="B8" s="5" t="s">
        <v>4</v>
      </c>
      <c r="C8" s="6" t="s">
        <v>5</v>
      </c>
      <c r="D8" s="6"/>
      <c r="E8" s="6"/>
      <c r="F8" s="6"/>
      <c r="G8" s="6"/>
      <c r="H8" s="6"/>
      <c r="I8" s="7" t="s">
        <v>6</v>
      </c>
    </row>
    <row r="9" customFormat="false" ht="18" hidden="false" customHeight="true" outlineLevel="0" collapsed="false">
      <c r="B9" s="5" t="s">
        <v>7</v>
      </c>
      <c r="C9" s="8" t="n">
        <v>3</v>
      </c>
      <c r="I9" s="7" t="s">
        <v>8</v>
      </c>
    </row>
    <row r="10" customFormat="false" ht="18" hidden="false" customHeight="true" outlineLevel="0" collapsed="false">
      <c r="B10" s="5" t="s">
        <v>9</v>
      </c>
      <c r="C10" s="9" t="n">
        <v>1.5</v>
      </c>
      <c r="I10" s="7" t="s">
        <v>10</v>
      </c>
    </row>
    <row r="11" customFormat="false" ht="18" hidden="false" customHeight="true" outlineLevel="0" collapsed="false">
      <c r="B11" s="5" t="s">
        <v>11</v>
      </c>
      <c r="C11" s="9" t="n">
        <v>0.75</v>
      </c>
      <c r="I11" s="7" t="s">
        <v>12</v>
      </c>
    </row>
    <row r="12" customFormat="false" ht="18" hidden="false" customHeight="true" outlineLevel="0" collapsed="false">
      <c r="B12" s="5" t="s">
        <v>13</v>
      </c>
      <c r="C12" s="8" t="n">
        <v>60</v>
      </c>
      <c r="I12" s="7" t="s">
        <v>14</v>
      </c>
    </row>
    <row r="13" customFormat="false" ht="6.75" hidden="false" customHeight="true" outlineLevel="0" collapsed="false"/>
    <row r="14" customFormat="false" ht="57.75" hidden="false" customHeight="true" outlineLevel="0" collapsed="false">
      <c r="B14" s="10" t="s">
        <v>15</v>
      </c>
      <c r="C14" s="10"/>
      <c r="D14" s="10"/>
      <c r="E14" s="10"/>
      <c r="F14" s="10"/>
      <c r="G14" s="10"/>
      <c r="H14" s="10"/>
      <c r="I14" s="10"/>
      <c r="J14" s="10"/>
    </row>
    <row r="15" customFormat="false" ht="6.75" hidden="false" customHeight="true" outlineLevel="0" collapsed="false"/>
    <row r="16" customFormat="false" ht="21.75" hidden="false" customHeight="true" outlineLevel="0" collapsed="false">
      <c r="B16" s="3" t="s">
        <v>16</v>
      </c>
      <c r="C16" s="3"/>
      <c r="D16" s="3"/>
      <c r="E16" s="3"/>
      <c r="F16" s="3"/>
      <c r="G16" s="3"/>
      <c r="H16" s="3"/>
      <c r="I16" s="3"/>
      <c r="J16" s="3"/>
    </row>
    <row r="17" customFormat="false" ht="42.75" hidden="false" customHeight="true" outlineLevel="0" collapsed="false">
      <c r="B17" s="4" t="s">
        <v>17</v>
      </c>
      <c r="C17" s="4"/>
      <c r="D17" s="4"/>
      <c r="E17" s="4"/>
      <c r="F17" s="4"/>
      <c r="G17" s="4"/>
      <c r="H17" s="4"/>
      <c r="I17" s="4"/>
      <c r="J17" s="4"/>
    </row>
    <row r="18" customFormat="false" ht="6.75" hidden="false" customHeight="true" outlineLevel="0" collapsed="false"/>
    <row r="19" customFormat="false" ht="30" hidden="false" customHeight="true" outlineLevel="0" collapsed="false">
      <c r="B19" s="11" t="s">
        <v>18</v>
      </c>
      <c r="C19" s="11" t="s">
        <v>19</v>
      </c>
    </row>
    <row r="20" customFormat="false" ht="18" hidden="false" customHeight="true" outlineLevel="0" collapsed="false">
      <c r="B20" s="12" t="s">
        <v>20</v>
      </c>
      <c r="C20" s="13" t="s">
        <v>21</v>
      </c>
    </row>
    <row r="21" customFormat="false" ht="18" hidden="false" customHeight="true" outlineLevel="0" collapsed="false">
      <c r="B21" s="14" t="s">
        <v>22</v>
      </c>
      <c r="C21" s="13" t="s">
        <v>23</v>
      </c>
    </row>
    <row r="22" customFormat="false" ht="18" hidden="false" customHeight="true" outlineLevel="0" collapsed="false">
      <c r="B22" s="15" t="s">
        <v>24</v>
      </c>
      <c r="C22" s="13" t="s">
        <v>25</v>
      </c>
    </row>
    <row r="23" customFormat="false" ht="18" hidden="false" customHeight="true" outlineLevel="0" collapsed="false">
      <c r="B23" s="16" t="s">
        <v>26</v>
      </c>
      <c r="C23" s="13" t="s">
        <v>27</v>
      </c>
    </row>
    <row r="24" customFormat="false" ht="18" hidden="false" customHeight="true" outlineLevel="0" collapsed="false">
      <c r="B24" s="17" t="s">
        <v>28</v>
      </c>
      <c r="C24" s="13" t="s">
        <v>29</v>
      </c>
    </row>
    <row r="25" customFormat="false" ht="6.75" hidden="false" customHeight="true" outlineLevel="0" collapsed="false"/>
    <row r="26" customFormat="false" ht="21.75" hidden="false" customHeight="true" outlineLevel="0" collapsed="false">
      <c r="B26" s="3" t="s">
        <v>30</v>
      </c>
      <c r="C26" s="3"/>
      <c r="D26" s="3"/>
      <c r="E26" s="3"/>
      <c r="F26" s="3"/>
      <c r="G26" s="3"/>
      <c r="H26" s="3"/>
      <c r="I26" s="3"/>
      <c r="J26" s="3"/>
    </row>
    <row r="27" customFormat="false" ht="30" hidden="false" customHeight="true" outlineLevel="0" collapsed="false">
      <c r="B27" s="11" t="s">
        <v>31</v>
      </c>
      <c r="C27" s="11" t="s">
        <v>32</v>
      </c>
      <c r="D27" s="11" t="s">
        <v>33</v>
      </c>
      <c r="E27" s="11" t="s">
        <v>34</v>
      </c>
    </row>
    <row r="28" customFormat="false" ht="15" hidden="false" customHeight="true" outlineLevel="0" collapsed="false">
      <c r="B28" s="18" t="s">
        <v>35</v>
      </c>
      <c r="C28" s="18" t="s">
        <v>36</v>
      </c>
      <c r="D28" s="13" t="s">
        <v>37</v>
      </c>
      <c r="E28" s="18" t="s">
        <v>38</v>
      </c>
    </row>
    <row r="29" customFormat="false" ht="15" hidden="false" customHeight="true" outlineLevel="0" collapsed="false">
      <c r="B29" s="18" t="s">
        <v>39</v>
      </c>
      <c r="C29" s="18" t="s">
        <v>36</v>
      </c>
      <c r="D29" s="13" t="s">
        <v>40</v>
      </c>
      <c r="E29" s="18" t="s">
        <v>41</v>
      </c>
    </row>
    <row r="30" customFormat="false" ht="15" hidden="false" customHeight="true" outlineLevel="0" collapsed="false">
      <c r="B30" s="18" t="s">
        <v>42</v>
      </c>
      <c r="C30" s="18" t="s">
        <v>36</v>
      </c>
      <c r="D30" s="13" t="s">
        <v>43</v>
      </c>
      <c r="E30" s="18" t="s">
        <v>44</v>
      </c>
    </row>
    <row r="31" customFormat="false" ht="15" hidden="false" customHeight="true" outlineLevel="0" collapsed="false">
      <c r="B31" s="18" t="s">
        <v>45</v>
      </c>
      <c r="C31" s="18" t="s">
        <v>46</v>
      </c>
      <c r="D31" s="13" t="s">
        <v>47</v>
      </c>
      <c r="E31" s="18" t="s">
        <v>44</v>
      </c>
    </row>
    <row r="32" customFormat="false" ht="15" hidden="false" customHeight="true" outlineLevel="0" collapsed="false">
      <c r="B32" s="18" t="s">
        <v>48</v>
      </c>
      <c r="C32" s="18" t="s">
        <v>46</v>
      </c>
      <c r="D32" s="13" t="s">
        <v>49</v>
      </c>
      <c r="E32" s="18" t="s">
        <v>41</v>
      </c>
    </row>
    <row r="33" customFormat="false" ht="15" hidden="false" customHeight="true" outlineLevel="0" collapsed="false">
      <c r="B33" s="18" t="s">
        <v>50</v>
      </c>
      <c r="C33" s="18" t="s">
        <v>46</v>
      </c>
      <c r="D33" s="13" t="s">
        <v>51</v>
      </c>
      <c r="E33" s="18" t="s">
        <v>52</v>
      </c>
    </row>
    <row r="34" customFormat="false" ht="15" hidden="false" customHeight="true" outlineLevel="0" collapsed="false">
      <c r="B34" s="18" t="s">
        <v>53</v>
      </c>
      <c r="C34" s="18" t="s">
        <v>46</v>
      </c>
      <c r="D34" s="13" t="s">
        <v>54</v>
      </c>
      <c r="E34" s="18" t="s">
        <v>44</v>
      </c>
    </row>
    <row r="35" customFormat="false" ht="15" hidden="false" customHeight="true" outlineLevel="0" collapsed="false">
      <c r="B35" s="18" t="s">
        <v>55</v>
      </c>
      <c r="C35" s="18" t="s">
        <v>56</v>
      </c>
      <c r="D35" s="13" t="s">
        <v>57</v>
      </c>
      <c r="E35" s="18" t="s">
        <v>58</v>
      </c>
    </row>
    <row r="36" customFormat="false" ht="15" hidden="false" customHeight="true" outlineLevel="0" collapsed="false">
      <c r="B36" s="18" t="s">
        <v>59</v>
      </c>
      <c r="C36" s="18" t="s">
        <v>56</v>
      </c>
      <c r="D36" s="13" t="s">
        <v>60</v>
      </c>
      <c r="E36" s="18" t="s">
        <v>58</v>
      </c>
    </row>
    <row r="37" customFormat="false" ht="15" hidden="false" customHeight="true" outlineLevel="0" collapsed="false">
      <c r="B37" s="18" t="s">
        <v>61</v>
      </c>
      <c r="C37" s="18" t="s">
        <v>56</v>
      </c>
      <c r="D37" s="13" t="s">
        <v>62</v>
      </c>
      <c r="E37" s="18" t="s">
        <v>63</v>
      </c>
    </row>
    <row r="38" customFormat="false" ht="15" hidden="false" customHeight="true" outlineLevel="0" collapsed="false">
      <c r="B38" s="18" t="s">
        <v>64</v>
      </c>
      <c r="C38" s="18" t="s">
        <v>56</v>
      </c>
      <c r="D38" s="13" t="s">
        <v>65</v>
      </c>
      <c r="E38" s="18" t="s">
        <v>52</v>
      </c>
    </row>
    <row r="39" customFormat="false" ht="15" hidden="false" customHeight="true" outlineLevel="0" collapsed="false">
      <c r="B39" s="18" t="s">
        <v>66</v>
      </c>
      <c r="C39" s="18" t="s">
        <v>56</v>
      </c>
      <c r="D39" s="13" t="s">
        <v>67</v>
      </c>
      <c r="E39" s="18" t="s">
        <v>41</v>
      </c>
    </row>
    <row r="40" customFormat="false" ht="15" hidden="false" customHeight="true" outlineLevel="0" collapsed="false">
      <c r="B40" s="18" t="s">
        <v>68</v>
      </c>
      <c r="C40" s="18" t="s">
        <v>56</v>
      </c>
      <c r="D40" s="13" t="s">
        <v>69</v>
      </c>
      <c r="E40" s="18" t="s">
        <v>52</v>
      </c>
    </row>
    <row r="41" customFormat="false" ht="15" hidden="false" customHeight="true" outlineLevel="0" collapsed="false">
      <c r="B41" s="18" t="s">
        <v>70</v>
      </c>
      <c r="C41" s="18" t="s">
        <v>56</v>
      </c>
      <c r="D41" s="13" t="s">
        <v>71</v>
      </c>
      <c r="E41" s="18" t="s">
        <v>58</v>
      </c>
    </row>
    <row r="42" customFormat="false" ht="15" hidden="false" customHeight="true" outlineLevel="0" collapsed="false">
      <c r="B42" s="18" t="s">
        <v>72</v>
      </c>
      <c r="C42" s="18" t="s">
        <v>56</v>
      </c>
      <c r="D42" s="13" t="s">
        <v>73</v>
      </c>
      <c r="E42" s="18" t="s">
        <v>52</v>
      </c>
    </row>
    <row r="43" customFormat="false" ht="15" hidden="false" customHeight="true" outlineLevel="0" collapsed="false">
      <c r="B43" s="18" t="s">
        <v>74</v>
      </c>
      <c r="C43" s="18" t="s">
        <v>56</v>
      </c>
      <c r="D43" s="13" t="s">
        <v>75</v>
      </c>
      <c r="E43" s="18" t="s">
        <v>63</v>
      </c>
    </row>
    <row r="44" customFormat="false" ht="15" hidden="false" customHeight="true" outlineLevel="0" collapsed="false">
      <c r="B44" s="18" t="s">
        <v>76</v>
      </c>
      <c r="C44" s="18" t="s">
        <v>56</v>
      </c>
      <c r="D44" s="13" t="s">
        <v>77</v>
      </c>
      <c r="E44" s="18" t="s">
        <v>63</v>
      </c>
    </row>
    <row r="45" customFormat="false" ht="15" hidden="false" customHeight="true" outlineLevel="0" collapsed="false">
      <c r="B45" s="18" t="s">
        <v>78</v>
      </c>
      <c r="C45" s="18" t="s">
        <v>56</v>
      </c>
      <c r="D45" s="13" t="s">
        <v>79</v>
      </c>
      <c r="E45" s="18" t="s">
        <v>63</v>
      </c>
    </row>
    <row r="46" customFormat="false" ht="15" hidden="false" customHeight="true" outlineLevel="0" collapsed="false">
      <c r="B46" s="18" t="s">
        <v>80</v>
      </c>
      <c r="C46" s="18" t="s">
        <v>56</v>
      </c>
      <c r="D46" s="13" t="s">
        <v>81</v>
      </c>
      <c r="E46" s="18" t="s">
        <v>58</v>
      </c>
    </row>
    <row r="47" customFormat="false" ht="15" hidden="false" customHeight="true" outlineLevel="0" collapsed="false">
      <c r="B47" s="18" t="s">
        <v>82</v>
      </c>
      <c r="C47" s="18" t="s">
        <v>56</v>
      </c>
      <c r="D47" s="13" t="s">
        <v>83</v>
      </c>
      <c r="E47" s="18" t="s">
        <v>58</v>
      </c>
    </row>
    <row r="48" customFormat="false" ht="15" hidden="false" customHeight="true" outlineLevel="0" collapsed="false">
      <c r="B48" s="18" t="s">
        <v>84</v>
      </c>
      <c r="C48" s="18" t="s">
        <v>56</v>
      </c>
      <c r="D48" s="13" t="s">
        <v>85</v>
      </c>
      <c r="E48" s="18" t="s">
        <v>63</v>
      </c>
    </row>
    <row r="49" customFormat="false" ht="15" hidden="false" customHeight="true" outlineLevel="0" collapsed="false">
      <c r="B49" s="18" t="s">
        <v>86</v>
      </c>
      <c r="C49" s="18" t="s">
        <v>87</v>
      </c>
      <c r="D49" s="13" t="s">
        <v>88</v>
      </c>
      <c r="E49" s="18" t="s">
        <v>63</v>
      </c>
    </row>
    <row r="50" customFormat="false" ht="15" hidden="false" customHeight="true" outlineLevel="0" collapsed="false">
      <c r="B50" s="18" t="s">
        <v>89</v>
      </c>
      <c r="C50" s="18" t="s">
        <v>87</v>
      </c>
      <c r="D50" s="13" t="s">
        <v>90</v>
      </c>
      <c r="E50" s="18" t="s">
        <v>52</v>
      </c>
    </row>
    <row r="51" customFormat="false" ht="15" hidden="false" customHeight="true" outlineLevel="0" collapsed="false">
      <c r="B51" s="18" t="s">
        <v>91</v>
      </c>
      <c r="C51" s="18" t="s">
        <v>87</v>
      </c>
      <c r="D51" s="13" t="s">
        <v>92</v>
      </c>
      <c r="E51" s="18" t="s">
        <v>93</v>
      </c>
    </row>
    <row r="52" customFormat="false" ht="15" hidden="false" customHeight="true" outlineLevel="0" collapsed="false">
      <c r="B52" s="18" t="s">
        <v>94</v>
      </c>
      <c r="C52" s="18" t="s">
        <v>87</v>
      </c>
      <c r="D52" s="13" t="s">
        <v>95</v>
      </c>
      <c r="E52" s="18" t="s">
        <v>63</v>
      </c>
    </row>
    <row r="53" customFormat="false" ht="15" hidden="false" customHeight="true" outlineLevel="0" collapsed="false">
      <c r="B53" s="18" t="s">
        <v>96</v>
      </c>
      <c r="C53" s="18" t="s">
        <v>97</v>
      </c>
      <c r="D53" s="13" t="s">
        <v>98</v>
      </c>
      <c r="E53" s="18" t="s">
        <v>58</v>
      </c>
    </row>
    <row r="54" customFormat="false" ht="15" hidden="false" customHeight="true" outlineLevel="0" collapsed="false">
      <c r="B54" s="18" t="s">
        <v>99</v>
      </c>
      <c r="C54" s="18" t="s">
        <v>97</v>
      </c>
      <c r="D54" s="13" t="s">
        <v>100</v>
      </c>
      <c r="E54" s="18" t="s">
        <v>93</v>
      </c>
    </row>
    <row r="55" customFormat="false" ht="15" hidden="false" customHeight="true" outlineLevel="0" collapsed="false">
      <c r="B55" s="18" t="s">
        <v>101</v>
      </c>
      <c r="C55" s="18" t="s">
        <v>97</v>
      </c>
      <c r="D55" s="13" t="s">
        <v>102</v>
      </c>
      <c r="E55" s="18" t="s">
        <v>63</v>
      </c>
    </row>
    <row r="56" customFormat="false" ht="15" hidden="false" customHeight="true" outlineLevel="0" collapsed="false">
      <c r="B56" s="18" t="s">
        <v>103</v>
      </c>
      <c r="C56" s="18" t="s">
        <v>97</v>
      </c>
      <c r="D56" s="13" t="s">
        <v>104</v>
      </c>
      <c r="E56" s="18" t="s">
        <v>41</v>
      </c>
    </row>
    <row r="57" customFormat="false" ht="15" hidden="false" customHeight="true" outlineLevel="0" collapsed="false">
      <c r="B57" s="18" t="s">
        <v>105</v>
      </c>
      <c r="C57" s="18" t="s">
        <v>106</v>
      </c>
      <c r="D57" s="13" t="s">
        <v>107</v>
      </c>
      <c r="E57" s="18" t="s">
        <v>108</v>
      </c>
    </row>
    <row r="58" customFormat="false" ht="15" hidden="false" customHeight="true" outlineLevel="0" collapsed="false">
      <c r="B58" s="18" t="s">
        <v>109</v>
      </c>
      <c r="C58" s="18" t="s">
        <v>106</v>
      </c>
      <c r="D58" s="13" t="s">
        <v>110</v>
      </c>
      <c r="E58" s="18" t="s">
        <v>111</v>
      </c>
    </row>
    <row r="59" customFormat="false" ht="15" hidden="false" customHeight="true" outlineLevel="0" collapsed="false">
      <c r="B59" s="18" t="s">
        <v>112</v>
      </c>
      <c r="C59" s="18" t="s">
        <v>106</v>
      </c>
      <c r="D59" s="13" t="s">
        <v>113</v>
      </c>
      <c r="E59" s="18" t="s">
        <v>111</v>
      </c>
    </row>
    <row r="60" customFormat="false" ht="15" hidden="false" customHeight="true" outlineLevel="0" collapsed="false">
      <c r="B60" s="18" t="s">
        <v>114</v>
      </c>
      <c r="C60" s="18" t="s">
        <v>106</v>
      </c>
      <c r="D60" s="13" t="s">
        <v>115</v>
      </c>
      <c r="E60" s="18" t="s">
        <v>111</v>
      </c>
    </row>
    <row r="61" customFormat="false" ht="6.75" hidden="false" customHeight="true" outlineLevel="0" collapsed="false"/>
    <row r="62" customFormat="false" ht="57.75" hidden="false" customHeight="true" outlineLevel="0" collapsed="false">
      <c r="B62" s="10" t="s">
        <v>116</v>
      </c>
      <c r="C62" s="10"/>
      <c r="D62" s="10"/>
      <c r="E62" s="10"/>
      <c r="F62" s="10"/>
      <c r="G62" s="10"/>
      <c r="H62" s="10"/>
      <c r="I62" s="10"/>
      <c r="J62" s="10"/>
    </row>
  </sheetData>
  <mergeCells count="10">
    <mergeCell ref="B2:J2"/>
    <mergeCell ref="B3:J3"/>
    <mergeCell ref="B5:J5"/>
    <mergeCell ref="B6:J6"/>
    <mergeCell ref="C8:H8"/>
    <mergeCell ref="B14:J14"/>
    <mergeCell ref="B16:J16"/>
    <mergeCell ref="B17:J17"/>
    <mergeCell ref="B26:J26"/>
    <mergeCell ref="B62:J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10" min="3" style="0" width="15"/>
  </cols>
  <sheetData>
    <row r="2" customFormat="false" ht="30" hidden="false" customHeight="true" outlineLevel="0" collapsed="false">
      <c r="B2" s="1" t="s">
        <v>117</v>
      </c>
      <c r="C2" s="1"/>
      <c r="D2" s="1"/>
      <c r="E2" s="1"/>
      <c r="F2" s="1"/>
      <c r="G2" s="1"/>
      <c r="H2" s="1"/>
      <c r="I2" s="1"/>
      <c r="J2" s="1"/>
    </row>
    <row r="3" customFormat="false" ht="19.5" hidden="false" customHeight="true" outlineLevel="0" collapsed="false">
      <c r="B3" s="2" t="s">
        <v>118</v>
      </c>
      <c r="C3" s="2"/>
      <c r="D3" s="2"/>
      <c r="E3" s="2"/>
      <c r="F3" s="2"/>
      <c r="G3" s="2"/>
      <c r="H3" s="2"/>
      <c r="I3" s="2"/>
      <c r="J3" s="2"/>
    </row>
    <row r="4" customFormat="false" ht="6.75" hidden="false" customHeight="true" outlineLevel="0" collapsed="false"/>
    <row r="5" customFormat="false" ht="21.75" hidden="false" customHeight="true" outlineLevel="0" collapsed="false">
      <c r="B5" s="3" t="s">
        <v>119</v>
      </c>
      <c r="C5" s="3"/>
      <c r="D5" s="3"/>
      <c r="E5" s="3"/>
      <c r="F5" s="3"/>
      <c r="G5" s="3"/>
      <c r="H5" s="3"/>
      <c r="I5" s="3"/>
      <c r="J5" s="3"/>
    </row>
    <row r="6" customFormat="false" ht="55.5" hidden="false" customHeight="true" outlineLevel="0" collapsed="false">
      <c r="B6" s="4" t="s">
        <v>120</v>
      </c>
      <c r="C6" s="4"/>
      <c r="D6" s="4"/>
      <c r="E6" s="4"/>
      <c r="F6" s="4"/>
      <c r="G6" s="4"/>
      <c r="H6" s="4"/>
      <c r="I6" s="4"/>
      <c r="J6" s="4"/>
    </row>
    <row r="7" customFormat="false" ht="42.75" hidden="false" customHeight="true" outlineLevel="0" collapsed="false">
      <c r="B7" s="4" t="s">
        <v>121</v>
      </c>
      <c r="C7" s="4"/>
      <c r="D7" s="4"/>
      <c r="E7" s="4"/>
      <c r="F7" s="4"/>
      <c r="G7" s="4"/>
      <c r="H7" s="4"/>
      <c r="I7" s="4"/>
      <c r="J7" s="4"/>
    </row>
    <row r="8" customFormat="false" ht="45" hidden="false" customHeight="true" outlineLevel="0" collapsed="false">
      <c r="B8" s="10" t="s">
        <v>122</v>
      </c>
      <c r="C8" s="10"/>
      <c r="D8" s="10"/>
      <c r="E8" s="10"/>
      <c r="F8" s="10"/>
      <c r="G8" s="10"/>
      <c r="H8" s="10"/>
      <c r="I8" s="10"/>
      <c r="J8" s="10"/>
    </row>
    <row r="9" customFormat="false" ht="6.75" hidden="false" customHeight="true" outlineLevel="0" collapsed="false"/>
    <row r="10" customFormat="false" ht="21.75" hidden="false" customHeight="true" outlineLevel="0" collapsed="false">
      <c r="B10" s="3" t="s">
        <v>123</v>
      </c>
      <c r="C10" s="3"/>
      <c r="D10" s="3"/>
      <c r="E10" s="3"/>
      <c r="F10" s="3"/>
      <c r="G10" s="3"/>
      <c r="H10" s="3"/>
      <c r="I10" s="3"/>
      <c r="J10" s="3"/>
    </row>
    <row r="11" customFormat="false" ht="30" hidden="false" customHeight="true" outlineLevel="0" collapsed="false">
      <c r="B11" s="11" t="s">
        <v>124</v>
      </c>
      <c r="C11" s="11" t="s">
        <v>125</v>
      </c>
      <c r="D11" s="11" t="s">
        <v>126</v>
      </c>
      <c r="E11" s="11" t="s">
        <v>127</v>
      </c>
      <c r="F11" s="11" t="s">
        <v>128</v>
      </c>
    </row>
    <row r="12" customFormat="false" ht="61.5" hidden="false" customHeight="true" outlineLevel="0" collapsed="false">
      <c r="B12" s="18" t="s">
        <v>129</v>
      </c>
      <c r="C12" s="13" t="s">
        <v>130</v>
      </c>
      <c r="D12" s="13" t="s">
        <v>131</v>
      </c>
      <c r="E12" s="13" t="s">
        <v>132</v>
      </c>
      <c r="F12" s="13" t="s">
        <v>133</v>
      </c>
    </row>
    <row r="13" customFormat="false" ht="61.5" hidden="false" customHeight="true" outlineLevel="0" collapsed="false">
      <c r="B13" s="18" t="s">
        <v>134</v>
      </c>
      <c r="C13" s="13" t="s">
        <v>135</v>
      </c>
      <c r="D13" s="13" t="s">
        <v>136</v>
      </c>
      <c r="E13" s="13" t="s">
        <v>137</v>
      </c>
      <c r="F13" s="13" t="s">
        <v>138</v>
      </c>
    </row>
    <row r="14" customFormat="false" ht="61.5" hidden="false" customHeight="true" outlineLevel="0" collapsed="false">
      <c r="B14" s="18" t="s">
        <v>139</v>
      </c>
      <c r="C14" s="13" t="s">
        <v>140</v>
      </c>
      <c r="D14" s="13" t="s">
        <v>141</v>
      </c>
      <c r="E14" s="13" t="s">
        <v>142</v>
      </c>
      <c r="F14" s="13" t="s">
        <v>143</v>
      </c>
    </row>
    <row r="15" customFormat="false" ht="61.5" hidden="false" customHeight="true" outlineLevel="0" collapsed="false">
      <c r="B15" s="18" t="s">
        <v>144</v>
      </c>
      <c r="C15" s="13" t="s">
        <v>145</v>
      </c>
      <c r="D15" s="13" t="s">
        <v>146</v>
      </c>
      <c r="E15" s="13" t="s">
        <v>147</v>
      </c>
      <c r="F15" s="13" t="s">
        <v>148</v>
      </c>
    </row>
    <row r="16" customFormat="false" ht="61.5" hidden="false" customHeight="true" outlineLevel="0" collapsed="false">
      <c r="B16" s="16" t="s">
        <v>149</v>
      </c>
      <c r="C16" s="13" t="s">
        <v>150</v>
      </c>
      <c r="D16" s="13" t="s">
        <v>151</v>
      </c>
      <c r="E16" s="13" t="s">
        <v>152</v>
      </c>
      <c r="F16" s="13" t="s">
        <v>153</v>
      </c>
    </row>
    <row r="17" customFormat="false" ht="6.75" hidden="false" customHeight="true" outlineLevel="0" collapsed="false"/>
    <row r="18" customFormat="false" ht="45" hidden="false" customHeight="true" outlineLevel="0" collapsed="false">
      <c r="B18" s="10" t="s">
        <v>154</v>
      </c>
      <c r="C18" s="10"/>
      <c r="D18" s="10"/>
      <c r="E18" s="10"/>
      <c r="F18" s="10"/>
      <c r="G18" s="10"/>
      <c r="H18" s="10"/>
      <c r="I18" s="10"/>
      <c r="J18" s="10"/>
    </row>
    <row r="19" customFormat="false" ht="6.75" hidden="false" customHeight="true" outlineLevel="0" collapsed="false"/>
    <row r="20" customFormat="false" ht="21.75" hidden="false" customHeight="true" outlineLevel="0" collapsed="false">
      <c r="B20" s="3" t="s">
        <v>155</v>
      </c>
      <c r="C20" s="3"/>
      <c r="D20" s="3"/>
      <c r="E20" s="3"/>
      <c r="F20" s="3"/>
      <c r="G20" s="3"/>
      <c r="H20" s="3"/>
      <c r="I20" s="3"/>
      <c r="J20" s="3"/>
    </row>
    <row r="21" customFormat="false" ht="147" hidden="false" customHeight="true" outlineLevel="0" collapsed="false">
      <c r="B21" s="4" t="s">
        <v>156</v>
      </c>
      <c r="C21" s="4"/>
      <c r="D21" s="4"/>
      <c r="E21" s="4"/>
      <c r="F21" s="4"/>
      <c r="G21" s="4"/>
      <c r="H21" s="4"/>
      <c r="I21" s="4"/>
      <c r="J21" s="4"/>
    </row>
    <row r="22" customFormat="false" ht="57.75" hidden="false" customHeight="true" outlineLevel="0" collapsed="false">
      <c r="B22" s="10" t="s">
        <v>157</v>
      </c>
      <c r="C22" s="10"/>
      <c r="D22" s="10"/>
      <c r="E22" s="10"/>
      <c r="F22" s="10"/>
      <c r="G22" s="10"/>
      <c r="H22" s="10"/>
      <c r="I22" s="10"/>
      <c r="J22" s="10"/>
    </row>
    <row r="23" customFormat="false" ht="6.75" hidden="false" customHeight="true" outlineLevel="0" collapsed="false"/>
    <row r="24" customFormat="false" ht="21.75" hidden="false" customHeight="true" outlineLevel="0" collapsed="false">
      <c r="B24" s="3" t="s">
        <v>158</v>
      </c>
      <c r="C24" s="3"/>
      <c r="D24" s="3"/>
      <c r="E24" s="3"/>
      <c r="F24" s="3"/>
      <c r="G24" s="3"/>
      <c r="H24" s="3"/>
      <c r="I24" s="3"/>
      <c r="J24" s="3"/>
    </row>
    <row r="25" customFormat="false" ht="30" hidden="false" customHeight="true" outlineLevel="0" collapsed="false">
      <c r="B25" s="11" t="s">
        <v>159</v>
      </c>
      <c r="C25" s="11" t="s">
        <v>160</v>
      </c>
      <c r="D25" s="11" t="s">
        <v>161</v>
      </c>
      <c r="E25" s="11" t="s">
        <v>162</v>
      </c>
    </row>
    <row r="26" customFormat="false" ht="57.75" hidden="false" customHeight="true" outlineLevel="0" collapsed="false">
      <c r="B26" s="18" t="s">
        <v>163</v>
      </c>
      <c r="C26" s="13" t="s">
        <v>164</v>
      </c>
      <c r="D26" s="13" t="s">
        <v>165</v>
      </c>
      <c r="E26" s="13" t="s">
        <v>166</v>
      </c>
    </row>
    <row r="27" customFormat="false" ht="57.75" hidden="false" customHeight="true" outlineLevel="0" collapsed="false">
      <c r="B27" s="18" t="s">
        <v>167</v>
      </c>
      <c r="C27" s="13" t="s">
        <v>168</v>
      </c>
      <c r="D27" s="13" t="s">
        <v>169</v>
      </c>
      <c r="E27" s="13" t="s">
        <v>170</v>
      </c>
    </row>
    <row r="28" customFormat="false" ht="57.75" hidden="false" customHeight="true" outlineLevel="0" collapsed="false">
      <c r="B28" s="10" t="s">
        <v>171</v>
      </c>
      <c r="C28" s="10"/>
      <c r="D28" s="10"/>
      <c r="E28" s="10"/>
      <c r="F28" s="10"/>
      <c r="G28" s="10"/>
      <c r="H28" s="10"/>
      <c r="I28" s="10"/>
      <c r="J28" s="10"/>
    </row>
  </sheetData>
  <mergeCells count="13">
    <mergeCell ref="B2:J2"/>
    <mergeCell ref="B3:J3"/>
    <mergeCell ref="B5:J5"/>
    <mergeCell ref="B6:J6"/>
    <mergeCell ref="B7:J7"/>
    <mergeCell ref="B8:J8"/>
    <mergeCell ref="B10:J10"/>
    <mergeCell ref="B18:J18"/>
    <mergeCell ref="B20:J20"/>
    <mergeCell ref="B21:J21"/>
    <mergeCell ref="B22:J22"/>
    <mergeCell ref="B24:J24"/>
    <mergeCell ref="B28:J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
    <col collapsed="false" customWidth="true" hidden="false" outlineLevel="0" max="3" min="3" style="0" width="26"/>
    <col collapsed="false" customWidth="true" hidden="false" outlineLevel="0" max="4" min="4" style="0" width="46"/>
    <col collapsed="false" customWidth="true" hidden="false" outlineLevel="0" max="5" min="5" style="0" width="20"/>
    <col collapsed="false" customWidth="true" hidden="false" outlineLevel="0" max="6" min="6" style="0" width="6"/>
    <col collapsed="false" customWidth="true" hidden="false" outlineLevel="0" max="7" min="7" style="0" width="26"/>
    <col collapsed="false" customWidth="true" hidden="false" outlineLevel="0" max="8" min="8" style="0" width="46"/>
    <col collapsed="false" customWidth="true" hidden="false" outlineLevel="0" max="9" min="9" style="0" width="20"/>
  </cols>
  <sheetData>
    <row r="2" customFormat="false" ht="30" hidden="false" customHeight="true" outlineLevel="0" collapsed="false">
      <c r="B2" s="1" t="s">
        <v>172</v>
      </c>
      <c r="C2" s="1"/>
      <c r="D2" s="1"/>
      <c r="E2" s="1"/>
      <c r="F2" s="1"/>
      <c r="G2" s="1"/>
      <c r="H2" s="1"/>
    </row>
    <row r="3" customFormat="false" ht="19.5" hidden="false" customHeight="true" outlineLevel="0" collapsed="false">
      <c r="B3" s="2" t="s">
        <v>173</v>
      </c>
      <c r="C3" s="2"/>
      <c r="D3" s="2"/>
      <c r="E3" s="2"/>
      <c r="F3" s="2"/>
      <c r="G3" s="2"/>
      <c r="H3" s="2"/>
    </row>
    <row r="4" customFormat="false" ht="6.75" hidden="false" customHeight="true" outlineLevel="0" collapsed="false"/>
    <row r="5" customFormat="false" ht="21.75" hidden="false" customHeight="true" outlineLevel="0" collapsed="false">
      <c r="B5" s="19" t="s">
        <v>174</v>
      </c>
      <c r="C5" s="19"/>
      <c r="D5" s="19"/>
      <c r="E5" s="19"/>
      <c r="F5" s="20" t="s">
        <v>175</v>
      </c>
      <c r="G5" s="20"/>
      <c r="H5" s="20"/>
      <c r="I5" s="20"/>
    </row>
    <row r="6" customFormat="false" ht="18" hidden="false" customHeight="true" outlineLevel="0" collapsed="false">
      <c r="B6" s="21" t="s">
        <v>176</v>
      </c>
      <c r="C6" s="21" t="s">
        <v>177</v>
      </c>
      <c r="D6" s="21" t="s">
        <v>178</v>
      </c>
      <c r="E6" s="21" t="s">
        <v>31</v>
      </c>
      <c r="F6" s="21" t="s">
        <v>176</v>
      </c>
      <c r="G6" s="21" t="s">
        <v>177</v>
      </c>
      <c r="H6" s="21" t="s">
        <v>178</v>
      </c>
      <c r="I6" s="21" t="s">
        <v>31</v>
      </c>
    </row>
    <row r="7" customFormat="false" ht="39.75" hidden="false" customHeight="true" outlineLevel="0" collapsed="false">
      <c r="B7" s="22" t="s">
        <v>179</v>
      </c>
      <c r="C7" s="22" t="s">
        <v>180</v>
      </c>
      <c r="D7" s="23" t="s">
        <v>181</v>
      </c>
      <c r="E7" s="22" t="s">
        <v>182</v>
      </c>
      <c r="F7" s="22" t="s">
        <v>179</v>
      </c>
      <c r="G7" s="22" t="s">
        <v>180</v>
      </c>
      <c r="H7" s="23" t="s">
        <v>183</v>
      </c>
      <c r="I7" s="22" t="s">
        <v>184</v>
      </c>
    </row>
    <row r="8" customFormat="false" ht="39.75" hidden="false" customHeight="true" outlineLevel="0" collapsed="false">
      <c r="B8" s="22" t="s">
        <v>185</v>
      </c>
      <c r="C8" s="22" t="s">
        <v>186</v>
      </c>
      <c r="D8" s="23" t="s">
        <v>187</v>
      </c>
      <c r="E8" s="22" t="s">
        <v>188</v>
      </c>
      <c r="F8" s="22" t="s">
        <v>185</v>
      </c>
      <c r="G8" s="22" t="s">
        <v>189</v>
      </c>
      <c r="H8" s="23" t="s">
        <v>190</v>
      </c>
      <c r="I8" s="22" t="s">
        <v>184</v>
      </c>
    </row>
    <row r="9" customFormat="false" ht="39.75" hidden="false" customHeight="true" outlineLevel="0" collapsed="false">
      <c r="B9" s="22" t="s">
        <v>191</v>
      </c>
      <c r="C9" s="22" t="s">
        <v>192</v>
      </c>
      <c r="D9" s="23" t="s">
        <v>193</v>
      </c>
      <c r="E9" s="22" t="s">
        <v>194</v>
      </c>
      <c r="F9" s="22" t="s">
        <v>191</v>
      </c>
      <c r="G9" s="22" t="s">
        <v>195</v>
      </c>
      <c r="H9" s="23" t="s">
        <v>196</v>
      </c>
      <c r="I9" s="22" t="s">
        <v>184</v>
      </c>
    </row>
    <row r="10" customFormat="false" ht="39.75" hidden="false" customHeight="true" outlineLevel="0" collapsed="false">
      <c r="B10" s="22" t="s">
        <v>197</v>
      </c>
      <c r="C10" s="22" t="s">
        <v>198</v>
      </c>
      <c r="D10" s="23" t="s">
        <v>199</v>
      </c>
      <c r="E10" s="22" t="s">
        <v>200</v>
      </c>
      <c r="F10" s="24" t="s">
        <v>197</v>
      </c>
      <c r="G10" s="24" t="s">
        <v>201</v>
      </c>
      <c r="H10" s="25" t="s">
        <v>202</v>
      </c>
      <c r="I10" s="24" t="s">
        <v>203</v>
      </c>
    </row>
    <row r="11" customFormat="false" ht="39.75" hidden="false" customHeight="true" outlineLevel="0" collapsed="false">
      <c r="B11" s="22" t="s">
        <v>204</v>
      </c>
      <c r="C11" s="22" t="s">
        <v>205</v>
      </c>
      <c r="D11" s="23" t="s">
        <v>206</v>
      </c>
      <c r="E11" s="22" t="s">
        <v>207</v>
      </c>
      <c r="F11" s="22" t="s">
        <v>204</v>
      </c>
      <c r="G11" s="22" t="s">
        <v>208</v>
      </c>
      <c r="H11" s="23" t="s">
        <v>209</v>
      </c>
      <c r="I11" s="22" t="s">
        <v>210</v>
      </c>
    </row>
    <row r="12" customFormat="false" ht="39.75" hidden="false" customHeight="true" outlineLevel="0" collapsed="false">
      <c r="B12" s="22" t="s">
        <v>211</v>
      </c>
      <c r="C12" s="22" t="s">
        <v>212</v>
      </c>
      <c r="D12" s="23" t="s">
        <v>213</v>
      </c>
      <c r="E12" s="22" t="s">
        <v>214</v>
      </c>
      <c r="F12" s="22" t="s">
        <v>211</v>
      </c>
      <c r="G12" s="22" t="s">
        <v>215</v>
      </c>
      <c r="H12" s="23" t="s">
        <v>216</v>
      </c>
      <c r="I12" s="22" t="s">
        <v>210</v>
      </c>
    </row>
    <row r="13" customFormat="false" ht="39.75" hidden="false" customHeight="true" outlineLevel="0" collapsed="false">
      <c r="B13" s="22" t="s">
        <v>217</v>
      </c>
      <c r="C13" s="22" t="s">
        <v>218</v>
      </c>
      <c r="D13" s="23" t="s">
        <v>219</v>
      </c>
      <c r="E13" s="22" t="s">
        <v>220</v>
      </c>
      <c r="F13" s="22" t="s">
        <v>217</v>
      </c>
      <c r="G13" s="22" t="s">
        <v>221</v>
      </c>
      <c r="H13" s="23" t="s">
        <v>222</v>
      </c>
      <c r="I13" s="22" t="s">
        <v>223</v>
      </c>
    </row>
    <row r="14" customFormat="false" ht="39.75" hidden="false" customHeight="true" outlineLevel="0" collapsed="false">
      <c r="B14" s="22" t="s">
        <v>224</v>
      </c>
      <c r="C14" s="22" t="s">
        <v>225</v>
      </c>
      <c r="D14" s="23" t="s">
        <v>226</v>
      </c>
      <c r="E14" s="22" t="s">
        <v>227</v>
      </c>
      <c r="F14" s="22" t="s">
        <v>224</v>
      </c>
      <c r="G14" s="22" t="s">
        <v>228</v>
      </c>
      <c r="H14" s="23" t="s">
        <v>229</v>
      </c>
      <c r="I14" s="22" t="s">
        <v>210</v>
      </c>
    </row>
    <row r="15" customFormat="false" ht="39.75" hidden="false" customHeight="true" outlineLevel="0" collapsed="false">
      <c r="B15" s="22" t="s">
        <v>230</v>
      </c>
      <c r="C15" s="22" t="s">
        <v>231</v>
      </c>
      <c r="D15" s="23" t="s">
        <v>232</v>
      </c>
      <c r="E15" s="22" t="s">
        <v>233</v>
      </c>
      <c r="F15" s="24" t="s">
        <v>230</v>
      </c>
      <c r="G15" s="24" t="s">
        <v>234</v>
      </c>
      <c r="H15" s="25" t="s">
        <v>235</v>
      </c>
      <c r="I15" s="24" t="s">
        <v>236</v>
      </c>
    </row>
    <row r="16" customFormat="false" ht="39.75" hidden="false" customHeight="true" outlineLevel="0" collapsed="false">
      <c r="B16" s="22" t="s">
        <v>237</v>
      </c>
      <c r="C16" s="22" t="s">
        <v>238</v>
      </c>
      <c r="D16" s="23" t="s">
        <v>239</v>
      </c>
      <c r="E16" s="22" t="s">
        <v>240</v>
      </c>
      <c r="F16" s="22" t="s">
        <v>237</v>
      </c>
      <c r="G16" s="22" t="s">
        <v>238</v>
      </c>
      <c r="H16" s="23" t="s">
        <v>241</v>
      </c>
      <c r="I16" s="22" t="s">
        <v>210</v>
      </c>
    </row>
    <row r="17" customFormat="false" ht="39.75" hidden="false" customHeight="true" outlineLevel="0" collapsed="false">
      <c r="B17" s="22" t="s">
        <v>207</v>
      </c>
      <c r="C17" s="22" t="s">
        <v>242</v>
      </c>
      <c r="D17" s="23" t="s">
        <v>243</v>
      </c>
      <c r="E17" s="22" t="s">
        <v>244</v>
      </c>
      <c r="F17" s="22" t="s">
        <v>207</v>
      </c>
      <c r="G17" s="22" t="s">
        <v>242</v>
      </c>
      <c r="H17" s="23" t="s">
        <v>245</v>
      </c>
      <c r="I17" s="22" t="s">
        <v>210</v>
      </c>
    </row>
    <row r="18" customFormat="false" ht="6.75" hidden="false" customHeight="true" outlineLevel="0" collapsed="false"/>
    <row r="19" customFormat="false" ht="57.75" hidden="false" customHeight="true" outlineLevel="0" collapsed="false">
      <c r="B19" s="10" t="s">
        <v>246</v>
      </c>
      <c r="C19" s="10"/>
      <c r="D19" s="10"/>
      <c r="E19" s="10"/>
      <c r="F19" s="10"/>
      <c r="G19" s="10"/>
      <c r="H19" s="10"/>
    </row>
  </sheetData>
  <mergeCells count="5">
    <mergeCell ref="B2:H2"/>
    <mergeCell ref="B3:H3"/>
    <mergeCell ref="B5:E5"/>
    <mergeCell ref="F5:I5"/>
    <mergeCell ref="B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9"/>
    <col collapsed="false" customWidth="true" hidden="false" outlineLevel="0" max="4" min="4" style="0" width="30"/>
    <col collapsed="false" customWidth="true" hidden="false" outlineLevel="0" max="5" min="5" style="0" width="8"/>
    <col collapsed="false" customWidth="true" hidden="false" outlineLevel="0" max="6" min="6" style="0" width="7"/>
    <col collapsed="false" customWidth="true" hidden="false" outlineLevel="0" max="7" min="7" style="0" width="88"/>
  </cols>
  <sheetData>
    <row r="2" customFormat="false" ht="30" hidden="false" customHeight="true" outlineLevel="0" collapsed="false">
      <c r="B2" s="1" t="s">
        <v>247</v>
      </c>
      <c r="C2" s="1"/>
      <c r="D2" s="1"/>
      <c r="E2" s="1"/>
      <c r="F2" s="1"/>
    </row>
    <row r="3" customFormat="false" ht="19.5" hidden="false" customHeight="true" outlineLevel="0" collapsed="false">
      <c r="B3" s="2" t="s">
        <v>248</v>
      </c>
      <c r="C3" s="2"/>
      <c r="D3" s="2"/>
      <c r="E3" s="2"/>
      <c r="F3" s="2"/>
    </row>
    <row r="4" customFormat="false" ht="6.75" hidden="false" customHeight="true" outlineLevel="0" collapsed="false"/>
    <row r="5" customFormat="false" ht="42.75" hidden="false" customHeight="true" outlineLevel="0" collapsed="false">
      <c r="B5" s="4" t="s">
        <v>249</v>
      </c>
      <c r="C5" s="4"/>
      <c r="D5" s="4"/>
      <c r="E5" s="4"/>
      <c r="F5" s="4"/>
    </row>
    <row r="6" customFormat="false" ht="6.75" hidden="false" customHeight="true" outlineLevel="0" collapsed="false"/>
    <row r="7" customFormat="false" ht="30" hidden="false" customHeight="true" outlineLevel="0" collapsed="false">
      <c r="B7" s="11" t="s">
        <v>250</v>
      </c>
      <c r="C7" s="11" t="s">
        <v>251</v>
      </c>
      <c r="D7" s="11" t="s">
        <v>252</v>
      </c>
      <c r="E7" s="11" t="s">
        <v>253</v>
      </c>
      <c r="F7" s="11" t="s">
        <v>254</v>
      </c>
      <c r="G7" s="11" t="s">
        <v>255</v>
      </c>
    </row>
    <row r="8" customFormat="false" ht="43.5" hidden="false" customHeight="true" outlineLevel="0" collapsed="false">
      <c r="B8" s="26" t="s">
        <v>256</v>
      </c>
      <c r="C8" s="18" t="s">
        <v>257</v>
      </c>
      <c r="D8" s="13" t="s">
        <v>258</v>
      </c>
      <c r="E8" s="18" t="s">
        <v>259</v>
      </c>
      <c r="F8" s="18" t="n">
        <v>72</v>
      </c>
      <c r="G8" s="13" t="s">
        <v>260</v>
      </c>
    </row>
    <row r="9" customFormat="false" ht="43.5" hidden="false" customHeight="true" outlineLevel="0" collapsed="false">
      <c r="B9" s="26" t="s">
        <v>261</v>
      </c>
      <c r="C9" s="18" t="s">
        <v>257</v>
      </c>
      <c r="D9" s="13" t="s">
        <v>262</v>
      </c>
      <c r="E9" s="18" t="s">
        <v>263</v>
      </c>
      <c r="F9" s="18" t="n">
        <v>41</v>
      </c>
      <c r="G9" s="13" t="s">
        <v>264</v>
      </c>
    </row>
    <row r="10" customFormat="false" ht="43.5" hidden="false" customHeight="true" outlineLevel="0" collapsed="false">
      <c r="B10" s="26" t="s">
        <v>265</v>
      </c>
      <c r="C10" s="18" t="s">
        <v>257</v>
      </c>
      <c r="D10" s="13" t="s">
        <v>266</v>
      </c>
      <c r="E10" s="18" t="s">
        <v>267</v>
      </c>
      <c r="F10" s="18" t="n">
        <v>36</v>
      </c>
      <c r="G10" s="13" t="s">
        <v>268</v>
      </c>
    </row>
    <row r="11" customFormat="false" ht="43.5" hidden="false" customHeight="true" outlineLevel="0" collapsed="false">
      <c r="B11" s="26" t="s">
        <v>269</v>
      </c>
      <c r="C11" s="18" t="s">
        <v>257</v>
      </c>
      <c r="D11" s="13" t="s">
        <v>270</v>
      </c>
      <c r="E11" s="18" t="s">
        <v>271</v>
      </c>
      <c r="F11" s="18" t="n">
        <v>36</v>
      </c>
      <c r="G11" s="13" t="s">
        <v>272</v>
      </c>
    </row>
    <row r="12" customFormat="false" ht="43.5" hidden="false" customHeight="true" outlineLevel="0" collapsed="false">
      <c r="B12" s="26" t="s">
        <v>273</v>
      </c>
      <c r="C12" s="18" t="s">
        <v>257</v>
      </c>
      <c r="D12" s="13" t="s">
        <v>274</v>
      </c>
      <c r="E12" s="18" t="s">
        <v>275</v>
      </c>
      <c r="F12" s="18" t="n">
        <v>39</v>
      </c>
      <c r="G12" s="13" t="s">
        <v>276</v>
      </c>
    </row>
    <row r="13" customFormat="false" ht="43.5" hidden="false" customHeight="true" outlineLevel="0" collapsed="false">
      <c r="B13" s="27" t="s">
        <v>277</v>
      </c>
      <c r="C13" s="18" t="s">
        <v>257</v>
      </c>
      <c r="D13" s="28" t="s">
        <v>278</v>
      </c>
      <c r="E13" s="18" t="s">
        <v>279</v>
      </c>
      <c r="F13" s="18" t="n">
        <v>73</v>
      </c>
      <c r="G13" s="13" t="s">
        <v>280</v>
      </c>
    </row>
    <row r="14" customFormat="false" ht="43.5" hidden="false" customHeight="true" outlineLevel="0" collapsed="false">
      <c r="B14" s="26" t="s">
        <v>281</v>
      </c>
      <c r="C14" s="18" t="s">
        <v>257</v>
      </c>
      <c r="D14" s="13" t="s">
        <v>282</v>
      </c>
      <c r="E14" s="18" t="s">
        <v>283</v>
      </c>
      <c r="F14" s="18" t="n">
        <v>36</v>
      </c>
      <c r="G14" s="13" t="s">
        <v>284</v>
      </c>
    </row>
    <row r="15" customFormat="false" ht="43.5" hidden="false" customHeight="true" outlineLevel="0" collapsed="false">
      <c r="B15" s="27" t="s">
        <v>285</v>
      </c>
      <c r="C15" s="18" t="s">
        <v>257</v>
      </c>
      <c r="D15" s="28" t="s">
        <v>286</v>
      </c>
      <c r="E15" s="18" t="s">
        <v>287</v>
      </c>
      <c r="F15" s="18" t="n">
        <v>75</v>
      </c>
      <c r="G15" s="13" t="s">
        <v>288</v>
      </c>
    </row>
    <row r="16" customFormat="false" ht="43.5" hidden="false" customHeight="true" outlineLevel="0" collapsed="false">
      <c r="B16" s="26" t="s">
        <v>289</v>
      </c>
      <c r="C16" s="18" t="s">
        <v>290</v>
      </c>
      <c r="D16" s="13" t="s">
        <v>291</v>
      </c>
      <c r="E16" s="18" t="s">
        <v>292</v>
      </c>
      <c r="F16" s="18" t="n">
        <v>35</v>
      </c>
      <c r="G16" s="13" t="s">
        <v>293</v>
      </c>
    </row>
    <row r="17" customFormat="false" ht="43.5" hidden="false" customHeight="true" outlineLevel="0" collapsed="false">
      <c r="B17" s="26" t="s">
        <v>294</v>
      </c>
      <c r="C17" s="18" t="s">
        <v>290</v>
      </c>
      <c r="D17" s="13" t="s">
        <v>295</v>
      </c>
      <c r="E17" s="18" t="s">
        <v>263</v>
      </c>
      <c r="F17" s="18" t="n">
        <v>35</v>
      </c>
      <c r="G17" s="13" t="s">
        <v>296</v>
      </c>
    </row>
    <row r="18" customFormat="false" ht="43.5" hidden="false" customHeight="true" outlineLevel="0" collapsed="false">
      <c r="B18" s="26" t="s">
        <v>297</v>
      </c>
      <c r="C18" s="18" t="s">
        <v>290</v>
      </c>
      <c r="D18" s="13" t="s">
        <v>298</v>
      </c>
      <c r="E18" s="18" t="s">
        <v>299</v>
      </c>
      <c r="F18" s="18" t="n">
        <v>30</v>
      </c>
      <c r="G18" s="13" t="s">
        <v>300</v>
      </c>
    </row>
    <row r="19" customFormat="false" ht="43.5" hidden="false" customHeight="true" outlineLevel="0" collapsed="false">
      <c r="B19" s="26" t="s">
        <v>301</v>
      </c>
      <c r="C19" s="18" t="s">
        <v>290</v>
      </c>
      <c r="D19" s="13" t="s">
        <v>302</v>
      </c>
      <c r="E19" s="18" t="s">
        <v>303</v>
      </c>
      <c r="F19" s="18" t="n">
        <v>28</v>
      </c>
      <c r="G19" s="13" t="s">
        <v>304</v>
      </c>
    </row>
    <row r="20" customFormat="false" ht="43.5" hidden="false" customHeight="true" outlineLevel="0" collapsed="false">
      <c r="B20" s="26" t="s">
        <v>305</v>
      </c>
      <c r="C20" s="18" t="s">
        <v>290</v>
      </c>
      <c r="D20" s="13" t="s">
        <v>306</v>
      </c>
      <c r="E20" s="18" t="s">
        <v>307</v>
      </c>
      <c r="F20" s="18" t="n">
        <v>69</v>
      </c>
      <c r="G20" s="13" t="s">
        <v>308</v>
      </c>
    </row>
    <row r="21" customFormat="false" ht="43.5" hidden="false" customHeight="true" outlineLevel="0" collapsed="false">
      <c r="B21" s="26" t="s">
        <v>309</v>
      </c>
      <c r="C21" s="18" t="s">
        <v>290</v>
      </c>
      <c r="D21" s="13" t="s">
        <v>310</v>
      </c>
      <c r="E21" s="18" t="s">
        <v>275</v>
      </c>
      <c r="F21" s="18" t="n">
        <v>31</v>
      </c>
      <c r="G21" s="13" t="s">
        <v>311</v>
      </c>
    </row>
    <row r="22" customFormat="false" ht="6.75" hidden="false" customHeight="true" outlineLevel="0" collapsed="false"/>
    <row r="23" customFormat="false" ht="57.75" hidden="false" customHeight="true" outlineLevel="0" collapsed="false">
      <c r="B23" s="10" t="s">
        <v>312</v>
      </c>
      <c r="C23" s="10"/>
      <c r="D23" s="10"/>
      <c r="E23" s="10"/>
      <c r="F23" s="10"/>
    </row>
    <row r="24" customFormat="false" ht="45" hidden="false" customHeight="true" outlineLevel="0" collapsed="false">
      <c r="B24" s="29" t="s">
        <v>313</v>
      </c>
      <c r="C24" s="29"/>
      <c r="D24" s="29"/>
      <c r="E24" s="29"/>
      <c r="F24" s="29"/>
    </row>
  </sheetData>
  <mergeCells count="5">
    <mergeCell ref="B2:F2"/>
    <mergeCell ref="B3:F3"/>
    <mergeCell ref="B5:F5"/>
    <mergeCell ref="B23:F23"/>
    <mergeCell ref="B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10" min="3" style="0" width="15"/>
  </cols>
  <sheetData>
    <row r="2" customFormat="false" ht="30" hidden="false" customHeight="true" outlineLevel="0" collapsed="false">
      <c r="B2" s="1" t="s">
        <v>314</v>
      </c>
      <c r="C2" s="1"/>
      <c r="D2" s="1"/>
      <c r="E2" s="1"/>
      <c r="F2" s="1"/>
      <c r="G2" s="1"/>
      <c r="H2" s="1"/>
      <c r="I2" s="1"/>
      <c r="J2" s="1"/>
    </row>
    <row r="3" customFormat="false" ht="19.5" hidden="false" customHeight="true" outlineLevel="0" collapsed="false">
      <c r="B3" s="2" t="s">
        <v>315</v>
      </c>
      <c r="C3" s="2"/>
      <c r="D3" s="2"/>
      <c r="E3" s="2"/>
      <c r="F3" s="2"/>
      <c r="G3" s="2"/>
      <c r="H3" s="2"/>
      <c r="I3" s="2"/>
      <c r="J3" s="2"/>
    </row>
    <row r="4" customFormat="false" ht="6.75" hidden="false" customHeight="true" outlineLevel="0" collapsed="false"/>
    <row r="5" customFormat="false" ht="55.5" hidden="false" customHeight="true" outlineLevel="0" collapsed="false">
      <c r="B5" s="4" t="s">
        <v>316</v>
      </c>
      <c r="C5" s="4"/>
      <c r="D5" s="4"/>
      <c r="E5" s="4"/>
      <c r="F5" s="4"/>
      <c r="G5" s="4"/>
      <c r="H5" s="4"/>
      <c r="I5" s="4"/>
      <c r="J5" s="4"/>
    </row>
    <row r="6" customFormat="false" ht="57.75" hidden="false" customHeight="true" outlineLevel="0" collapsed="false">
      <c r="B6" s="10" t="s">
        <v>317</v>
      </c>
      <c r="C6" s="10"/>
      <c r="D6" s="10"/>
      <c r="E6" s="10"/>
      <c r="F6" s="10"/>
      <c r="G6" s="10"/>
      <c r="H6" s="10"/>
      <c r="I6" s="10"/>
      <c r="J6" s="10"/>
    </row>
    <row r="7" customFormat="false" ht="6.75" hidden="false" customHeight="true" outlineLevel="0" collapsed="false"/>
    <row r="8" customFormat="false" ht="21.75" hidden="false" customHeight="true" outlineLevel="0" collapsed="false">
      <c r="B8" s="3" t="s">
        <v>318</v>
      </c>
      <c r="C8" s="3"/>
      <c r="D8" s="3"/>
      <c r="E8" s="3"/>
      <c r="F8" s="3"/>
      <c r="G8" s="3"/>
      <c r="H8" s="3"/>
      <c r="I8" s="3"/>
      <c r="J8" s="3"/>
    </row>
    <row r="9" customFormat="false" ht="30" hidden="false" customHeight="true" outlineLevel="0" collapsed="false">
      <c r="B9" s="11" t="s">
        <v>319</v>
      </c>
      <c r="C9" s="11" t="s">
        <v>320</v>
      </c>
      <c r="D9" s="11" t="s">
        <v>321</v>
      </c>
    </row>
    <row r="10" customFormat="false" ht="48" hidden="false" customHeight="true" outlineLevel="0" collapsed="false">
      <c r="B10" s="13" t="s">
        <v>322</v>
      </c>
      <c r="C10" s="13" t="s">
        <v>323</v>
      </c>
      <c r="D10" s="13" t="s">
        <v>324</v>
      </c>
    </row>
    <row r="11" customFormat="false" ht="48" hidden="false" customHeight="true" outlineLevel="0" collapsed="false">
      <c r="B11" s="13" t="s">
        <v>325</v>
      </c>
      <c r="C11" s="13" t="s">
        <v>326</v>
      </c>
      <c r="D11" s="13" t="s">
        <v>327</v>
      </c>
    </row>
    <row r="12" customFormat="false" ht="48" hidden="false" customHeight="true" outlineLevel="0" collapsed="false">
      <c r="B12" s="13" t="s">
        <v>328</v>
      </c>
      <c r="C12" s="13" t="s">
        <v>329</v>
      </c>
      <c r="D12" s="13" t="s">
        <v>330</v>
      </c>
    </row>
    <row r="13" customFormat="false" ht="48" hidden="false" customHeight="true" outlineLevel="0" collapsed="false">
      <c r="B13" s="13" t="s">
        <v>331</v>
      </c>
      <c r="C13" s="13" t="s">
        <v>332</v>
      </c>
      <c r="D13" s="13" t="s">
        <v>333</v>
      </c>
    </row>
    <row r="14" customFormat="false" ht="48" hidden="false" customHeight="true" outlineLevel="0" collapsed="false">
      <c r="B14" s="13" t="s">
        <v>334</v>
      </c>
      <c r="C14" s="13" t="s">
        <v>335</v>
      </c>
      <c r="D14" s="13" t="s">
        <v>336</v>
      </c>
    </row>
    <row r="15" customFormat="false" ht="48" hidden="false" customHeight="true" outlineLevel="0" collapsed="false">
      <c r="B15" s="13" t="s">
        <v>337</v>
      </c>
      <c r="C15" s="13" t="s">
        <v>338</v>
      </c>
      <c r="D15" s="13" t="s">
        <v>339</v>
      </c>
    </row>
    <row r="16" customFormat="false" ht="48" hidden="false" customHeight="true" outlineLevel="0" collapsed="false">
      <c r="B16" s="13" t="s">
        <v>340</v>
      </c>
      <c r="C16" s="13" t="s">
        <v>341</v>
      </c>
      <c r="D16" s="13" t="s">
        <v>342</v>
      </c>
    </row>
    <row r="17" customFormat="false" ht="6.75" hidden="false" customHeight="true" outlineLevel="0" collapsed="false"/>
    <row r="18" customFormat="false" ht="21.75" hidden="false" customHeight="true" outlineLevel="0" collapsed="false">
      <c r="B18" s="3" t="s">
        <v>343</v>
      </c>
      <c r="C18" s="3"/>
      <c r="D18" s="3"/>
      <c r="E18" s="3"/>
      <c r="F18" s="3"/>
      <c r="G18" s="3"/>
      <c r="H18" s="3"/>
      <c r="I18" s="3"/>
      <c r="J18" s="3"/>
    </row>
    <row r="19" customFormat="false" ht="30" hidden="false" customHeight="true" outlineLevel="0" collapsed="false">
      <c r="B19" s="11" t="s">
        <v>177</v>
      </c>
      <c r="C19" s="11" t="s">
        <v>344</v>
      </c>
    </row>
    <row r="20" customFormat="false" ht="75.75" hidden="false" customHeight="true" outlineLevel="0" collapsed="false">
      <c r="B20" s="17" t="s">
        <v>345</v>
      </c>
      <c r="C20" s="13" t="s">
        <v>346</v>
      </c>
    </row>
    <row r="21" customFormat="false" ht="51.75" hidden="false" customHeight="true" outlineLevel="0" collapsed="false">
      <c r="B21" s="16" t="s">
        <v>347</v>
      </c>
      <c r="C21" s="13" t="s">
        <v>348</v>
      </c>
    </row>
    <row r="22" customFormat="false" ht="6.75" hidden="false" customHeight="true" outlineLevel="0" collapsed="false"/>
    <row r="23" customFormat="false" ht="57.75" hidden="false" customHeight="true" outlineLevel="0" collapsed="false">
      <c r="B23" s="10" t="s">
        <v>349</v>
      </c>
      <c r="C23" s="10"/>
      <c r="D23" s="10"/>
      <c r="E23" s="10"/>
      <c r="F23" s="10"/>
      <c r="G23" s="10"/>
      <c r="H23" s="10"/>
      <c r="I23" s="10"/>
      <c r="J23" s="10"/>
    </row>
    <row r="24" customFormat="false" ht="57.75" hidden="false" customHeight="true" outlineLevel="0" collapsed="false">
      <c r="B24" s="10" t="s">
        <v>350</v>
      </c>
      <c r="C24" s="10"/>
      <c r="D24" s="10"/>
      <c r="E24" s="10"/>
      <c r="F24" s="10"/>
      <c r="G24" s="10"/>
      <c r="H24" s="10"/>
      <c r="I24" s="10"/>
      <c r="J24" s="10"/>
    </row>
  </sheetData>
  <mergeCells count="8">
    <mergeCell ref="B2:J2"/>
    <mergeCell ref="B3:J3"/>
    <mergeCell ref="B5:J5"/>
    <mergeCell ref="B6:J6"/>
    <mergeCell ref="B8:J8"/>
    <mergeCell ref="B18:J18"/>
    <mergeCell ref="B23:J2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10" min="3" style="0" width="15"/>
  </cols>
  <sheetData>
    <row r="2" customFormat="false" ht="30" hidden="false" customHeight="true" outlineLevel="0" collapsed="false">
      <c r="B2" s="1" t="s">
        <v>351</v>
      </c>
      <c r="C2" s="1"/>
      <c r="D2" s="1"/>
      <c r="E2" s="1"/>
      <c r="F2" s="1"/>
      <c r="G2" s="1"/>
      <c r="H2" s="1"/>
      <c r="I2" s="1"/>
      <c r="J2" s="1"/>
    </row>
    <row r="3" customFormat="false" ht="19.5" hidden="false" customHeight="true" outlineLevel="0" collapsed="false">
      <c r="B3" s="2" t="s">
        <v>352</v>
      </c>
      <c r="C3" s="2"/>
      <c r="D3" s="2"/>
      <c r="E3" s="2"/>
      <c r="F3" s="2"/>
      <c r="G3" s="2"/>
      <c r="H3" s="2"/>
      <c r="I3" s="2"/>
      <c r="J3" s="2"/>
    </row>
    <row r="4" customFormat="false" ht="6.75" hidden="false" customHeight="true" outlineLevel="0" collapsed="false"/>
    <row r="5" customFormat="false" ht="21.75" hidden="false" customHeight="true" outlineLevel="0" collapsed="false">
      <c r="B5" s="3" t="s">
        <v>353</v>
      </c>
      <c r="C5" s="3"/>
      <c r="D5" s="3"/>
      <c r="E5" s="3"/>
      <c r="F5" s="3"/>
      <c r="G5" s="3"/>
      <c r="H5" s="3"/>
      <c r="I5" s="3"/>
      <c r="J5" s="3"/>
    </row>
    <row r="6" customFormat="false" ht="30" hidden="false" customHeight="true" outlineLevel="0" collapsed="false">
      <c r="B6" s="11" t="s">
        <v>354</v>
      </c>
      <c r="C6" s="11" t="s">
        <v>355</v>
      </c>
    </row>
    <row r="7" customFormat="false" ht="42" hidden="false" customHeight="true" outlineLevel="0" collapsed="false">
      <c r="B7" s="26" t="s">
        <v>356</v>
      </c>
      <c r="C7" s="13" t="s">
        <v>357</v>
      </c>
    </row>
    <row r="8" customFormat="false" ht="42" hidden="false" customHeight="true" outlineLevel="0" collapsed="false">
      <c r="B8" s="26" t="s">
        <v>358</v>
      </c>
      <c r="C8" s="13" t="s">
        <v>359</v>
      </c>
    </row>
    <row r="9" customFormat="false" ht="42" hidden="false" customHeight="true" outlineLevel="0" collapsed="false">
      <c r="B9" s="26" t="s">
        <v>360</v>
      </c>
      <c r="C9" s="13" t="s">
        <v>361</v>
      </c>
    </row>
    <row r="10" customFormat="false" ht="6.75" hidden="false" customHeight="true" outlineLevel="0" collapsed="false"/>
    <row r="11" customFormat="false" ht="57.75" hidden="false" customHeight="true" outlineLevel="0" collapsed="false">
      <c r="B11" s="10" t="s">
        <v>362</v>
      </c>
      <c r="C11" s="10"/>
      <c r="D11" s="10"/>
      <c r="E11" s="10"/>
      <c r="F11" s="10"/>
      <c r="G11" s="10"/>
      <c r="H11" s="10"/>
      <c r="I11" s="10"/>
      <c r="J11" s="10"/>
    </row>
    <row r="12" customFormat="false" ht="6.75" hidden="false" customHeight="true" outlineLevel="0" collapsed="false"/>
    <row r="13" customFormat="false" ht="21.75" hidden="false" customHeight="true" outlineLevel="0" collapsed="false">
      <c r="B13" s="3" t="s">
        <v>363</v>
      </c>
      <c r="C13" s="3"/>
      <c r="D13" s="3"/>
      <c r="E13" s="3"/>
      <c r="F13" s="3"/>
      <c r="G13" s="3"/>
      <c r="H13" s="3"/>
      <c r="I13" s="3"/>
      <c r="J13" s="3"/>
    </row>
    <row r="14" customFormat="false" ht="30" hidden="false" customHeight="true" outlineLevel="0" collapsed="false">
      <c r="B14" s="11" t="s">
        <v>364</v>
      </c>
      <c r="C14" s="11" t="s">
        <v>365</v>
      </c>
      <c r="D14" s="11" t="s">
        <v>366</v>
      </c>
      <c r="E14" s="11" t="s">
        <v>367</v>
      </c>
    </row>
    <row r="15" customFormat="false" ht="61.5" hidden="false" customHeight="true" outlineLevel="0" collapsed="false">
      <c r="B15" s="18" t="s">
        <v>368</v>
      </c>
      <c r="C15" s="13" t="s">
        <v>369</v>
      </c>
      <c r="D15" s="13" t="s">
        <v>370</v>
      </c>
      <c r="E15" s="13" t="s">
        <v>371</v>
      </c>
    </row>
    <row r="16" customFormat="false" ht="61.5" hidden="false" customHeight="true" outlineLevel="0" collapsed="false">
      <c r="B16" s="18" t="s">
        <v>372</v>
      </c>
      <c r="C16" s="13" t="s">
        <v>373</v>
      </c>
      <c r="D16" s="13" t="s">
        <v>374</v>
      </c>
      <c r="E16" s="13" t="s">
        <v>375</v>
      </c>
    </row>
    <row r="17" customFormat="false" ht="61.5" hidden="false" customHeight="true" outlineLevel="0" collapsed="false">
      <c r="B17" s="18" t="s">
        <v>376</v>
      </c>
      <c r="C17" s="13" t="s">
        <v>377</v>
      </c>
      <c r="D17" s="13" t="s">
        <v>378</v>
      </c>
      <c r="E17" s="13" t="s">
        <v>379</v>
      </c>
    </row>
    <row r="18" customFormat="false" ht="6.75" hidden="false" customHeight="true" outlineLevel="0" collapsed="false"/>
    <row r="19" customFormat="false" ht="21.75" hidden="false" customHeight="true" outlineLevel="0" collapsed="false">
      <c r="B19" s="3" t="s">
        <v>380</v>
      </c>
      <c r="C19" s="3"/>
      <c r="D19" s="3"/>
      <c r="E19" s="3"/>
      <c r="F19" s="3"/>
      <c r="G19" s="3"/>
      <c r="H19" s="3"/>
      <c r="I19" s="3"/>
      <c r="J19" s="3"/>
    </row>
    <row r="20" customFormat="false" ht="42.75" hidden="false" customHeight="true" outlineLevel="0" collapsed="false">
      <c r="B20" s="4" t="s">
        <v>381</v>
      </c>
      <c r="C20" s="4"/>
      <c r="D20" s="4"/>
      <c r="E20" s="4"/>
      <c r="F20" s="4"/>
      <c r="G20" s="4"/>
      <c r="H20" s="4"/>
      <c r="I20" s="4"/>
      <c r="J20" s="4"/>
    </row>
    <row r="21" customFormat="false" ht="30" hidden="false" customHeight="true" outlineLevel="0" collapsed="false">
      <c r="B21" s="11" t="s">
        <v>382</v>
      </c>
      <c r="C21" s="11" t="s">
        <v>383</v>
      </c>
      <c r="D21" s="11" t="s">
        <v>384</v>
      </c>
      <c r="E21" s="11" t="s">
        <v>385</v>
      </c>
    </row>
    <row r="22" customFormat="false" ht="45.75" hidden="false" customHeight="true" outlineLevel="0" collapsed="false">
      <c r="B22" s="18" t="s">
        <v>386</v>
      </c>
      <c r="C22" s="13" t="s">
        <v>387</v>
      </c>
      <c r="D22" s="13" t="s">
        <v>388</v>
      </c>
      <c r="E22" s="30" t="s">
        <v>389</v>
      </c>
    </row>
    <row r="23" customFormat="false" ht="45.75" hidden="false" customHeight="true" outlineLevel="0" collapsed="false">
      <c r="B23" s="18" t="s">
        <v>390</v>
      </c>
      <c r="C23" s="13" t="s">
        <v>391</v>
      </c>
      <c r="D23" s="13" t="s">
        <v>392</v>
      </c>
      <c r="E23" s="31" t="s">
        <v>393</v>
      </c>
    </row>
    <row r="24" customFormat="false" ht="6.75" hidden="false" customHeight="true" outlineLevel="0" collapsed="false"/>
    <row r="25" customFormat="false" ht="21.75" hidden="false" customHeight="true" outlineLevel="0" collapsed="false">
      <c r="B25" s="3" t="s">
        <v>394</v>
      </c>
      <c r="C25" s="3"/>
      <c r="D25" s="3"/>
      <c r="E25" s="3"/>
      <c r="F25" s="3"/>
      <c r="G25" s="3"/>
      <c r="H25" s="3"/>
      <c r="I25" s="3"/>
      <c r="J25" s="3"/>
    </row>
    <row r="26" customFormat="false" ht="30" hidden="false" customHeight="true" outlineLevel="0" collapsed="false">
      <c r="B26" s="11" t="s">
        <v>395</v>
      </c>
      <c r="C26" s="11" t="s">
        <v>396</v>
      </c>
      <c r="D26" s="11" t="s">
        <v>397</v>
      </c>
    </row>
    <row r="27" customFormat="false" ht="43.5" hidden="false" customHeight="true" outlineLevel="0" collapsed="false">
      <c r="B27" s="17" t="s">
        <v>398</v>
      </c>
      <c r="C27" s="13" t="s">
        <v>399</v>
      </c>
      <c r="D27" s="13" t="s">
        <v>400</v>
      </c>
    </row>
    <row r="28" customFormat="false" ht="43.5" hidden="false" customHeight="true" outlineLevel="0" collapsed="false">
      <c r="B28" s="18" t="s">
        <v>401</v>
      </c>
      <c r="C28" s="13" t="s">
        <v>402</v>
      </c>
      <c r="D28" s="13" t="s">
        <v>403</v>
      </c>
    </row>
    <row r="29" customFormat="false" ht="43.5" hidden="false" customHeight="true" outlineLevel="0" collapsed="false">
      <c r="B29" s="18" t="s">
        <v>404</v>
      </c>
      <c r="C29" s="13" t="s">
        <v>405</v>
      </c>
      <c r="D29" s="13" t="s">
        <v>406</v>
      </c>
    </row>
    <row r="30" customFormat="false" ht="43.5" hidden="false" customHeight="true" outlineLevel="0" collapsed="false">
      <c r="B30" s="18" t="s">
        <v>407</v>
      </c>
      <c r="C30" s="13" t="s">
        <v>408</v>
      </c>
      <c r="D30" s="13" t="s">
        <v>409</v>
      </c>
    </row>
    <row r="31" customFormat="false" ht="43.5" hidden="false" customHeight="true" outlineLevel="0" collapsed="false">
      <c r="B31" s="18" t="s">
        <v>410</v>
      </c>
      <c r="C31" s="13" t="s">
        <v>411</v>
      </c>
      <c r="D31" s="13" t="s">
        <v>412</v>
      </c>
    </row>
    <row r="32" customFormat="false" ht="43.5" hidden="false" customHeight="true" outlineLevel="0" collapsed="false">
      <c r="B32" s="16" t="s">
        <v>413</v>
      </c>
      <c r="C32" s="13" t="s">
        <v>414</v>
      </c>
      <c r="D32" s="13" t="s">
        <v>415</v>
      </c>
    </row>
    <row r="33" customFormat="false" ht="6.75" hidden="false" customHeight="true" outlineLevel="0" collapsed="false"/>
    <row r="34" customFormat="false" ht="21.75" hidden="false" customHeight="true" outlineLevel="0" collapsed="false">
      <c r="B34" s="3" t="s">
        <v>416</v>
      </c>
      <c r="C34" s="3"/>
      <c r="D34" s="3"/>
      <c r="E34" s="3"/>
      <c r="F34" s="3"/>
      <c r="G34" s="3"/>
      <c r="H34" s="3"/>
      <c r="I34" s="3"/>
      <c r="J34" s="3"/>
    </row>
    <row r="35" customFormat="false" ht="42.75" hidden="false" customHeight="true" outlineLevel="0" collapsed="false">
      <c r="B35" s="4" t="s">
        <v>417</v>
      </c>
      <c r="C35" s="4"/>
      <c r="D35" s="4"/>
      <c r="E35" s="4"/>
      <c r="F35" s="4"/>
      <c r="G35" s="4"/>
      <c r="H35" s="4"/>
      <c r="I35" s="4"/>
      <c r="J35" s="4"/>
    </row>
    <row r="36" customFormat="false" ht="57.75" hidden="false" customHeight="true" outlineLevel="0" collapsed="false">
      <c r="B36" s="10" t="s">
        <v>418</v>
      </c>
      <c r="C36" s="10"/>
      <c r="D36" s="10"/>
      <c r="E36" s="10"/>
      <c r="F36" s="10"/>
      <c r="G36" s="10"/>
      <c r="H36" s="10"/>
      <c r="I36" s="10"/>
      <c r="J36" s="10"/>
    </row>
  </sheetData>
  <mergeCells count="11">
    <mergeCell ref="B2:J2"/>
    <mergeCell ref="B3:J3"/>
    <mergeCell ref="B5:J5"/>
    <mergeCell ref="B11:J11"/>
    <mergeCell ref="B13:J13"/>
    <mergeCell ref="B19:J19"/>
    <mergeCell ref="B20:J20"/>
    <mergeCell ref="B25:J25"/>
    <mergeCell ref="B34:J34"/>
    <mergeCell ref="B35:J35"/>
    <mergeCell ref="B36:J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9"/>
    <col collapsed="false" customWidth="true" hidden="false" outlineLevel="0" max="4" min="4" style="0" width="8"/>
    <col collapsed="false" customWidth="true" hidden="false" outlineLevel="0" max="6" min="5" style="0" width="7"/>
    <col collapsed="false" customWidth="true" hidden="false" outlineLevel="0" max="7" min="7" style="0" width="90"/>
  </cols>
  <sheetData>
    <row r="2" customFormat="false" ht="30" hidden="false" customHeight="true" outlineLevel="0" collapsed="false">
      <c r="B2" s="1" t="s">
        <v>419</v>
      </c>
      <c r="C2" s="1"/>
      <c r="D2" s="1"/>
      <c r="E2" s="1"/>
      <c r="F2" s="1"/>
    </row>
    <row r="3" customFormat="false" ht="19.5" hidden="false" customHeight="true" outlineLevel="0" collapsed="false">
      <c r="B3" s="2" t="s">
        <v>420</v>
      </c>
      <c r="C3" s="2"/>
      <c r="D3" s="2"/>
      <c r="E3" s="2"/>
      <c r="F3" s="2"/>
    </row>
    <row r="4" customFormat="false" ht="6.75" hidden="false" customHeight="true" outlineLevel="0" collapsed="false"/>
    <row r="5" customFormat="false" ht="42.75" hidden="false" customHeight="true" outlineLevel="0" collapsed="false">
      <c r="B5" s="4" t="s">
        <v>421</v>
      </c>
      <c r="C5" s="4"/>
      <c r="D5" s="4"/>
      <c r="E5" s="4"/>
      <c r="F5" s="4"/>
    </row>
    <row r="6" customFormat="false" ht="6.75" hidden="false" customHeight="true" outlineLevel="0" collapsed="false"/>
    <row r="7" customFormat="false" ht="30" hidden="false" customHeight="true" outlineLevel="0" collapsed="false">
      <c r="B7" s="11" t="s">
        <v>186</v>
      </c>
      <c r="C7" s="11" t="s">
        <v>250</v>
      </c>
      <c r="D7" s="11" t="s">
        <v>32</v>
      </c>
      <c r="E7" s="11" t="s">
        <v>254</v>
      </c>
      <c r="F7" s="11" t="s">
        <v>422</v>
      </c>
      <c r="G7" s="11" t="s">
        <v>423</v>
      </c>
    </row>
    <row r="8" customFormat="false" ht="39.75" hidden="false" customHeight="true" outlineLevel="0" collapsed="false">
      <c r="B8" s="26" t="s">
        <v>424</v>
      </c>
      <c r="C8" s="18" t="s">
        <v>256</v>
      </c>
      <c r="D8" s="18" t="s">
        <v>425</v>
      </c>
      <c r="E8" s="32" t="n">
        <f aca="false">LEN(TRIM(G8))-LEN(SUBSTITUTE(TRIM(G8)," ",""))+1</f>
        <v>33</v>
      </c>
      <c r="F8" s="32" t="n">
        <f aca="false">LEN(G8)</f>
        <v>209</v>
      </c>
      <c r="G8" s="13" t="s">
        <v>426</v>
      </c>
    </row>
    <row r="9" customFormat="false" ht="39.75" hidden="false" customHeight="true" outlineLevel="0" collapsed="false">
      <c r="B9" s="26" t="s">
        <v>427</v>
      </c>
      <c r="C9" s="18" t="s">
        <v>256</v>
      </c>
      <c r="D9" s="18" t="s">
        <v>428</v>
      </c>
      <c r="E9" s="32" t="n">
        <f aca="false">LEN(TRIM(G9))-LEN(SUBSTITUTE(TRIM(G9)," ",""))+1</f>
        <v>39</v>
      </c>
      <c r="F9" s="32" t="n">
        <f aca="false">LEN(G9)</f>
        <v>218</v>
      </c>
      <c r="G9" s="13" t="s">
        <v>429</v>
      </c>
    </row>
    <row r="10" customFormat="false" ht="39.75" hidden="false" customHeight="true" outlineLevel="0" collapsed="false">
      <c r="B10" s="26" t="s">
        <v>430</v>
      </c>
      <c r="C10" s="18" t="s">
        <v>261</v>
      </c>
      <c r="D10" s="18" t="s">
        <v>431</v>
      </c>
      <c r="E10" s="32" t="n">
        <f aca="false">LEN(TRIM(G10))-LEN(SUBSTITUTE(TRIM(G10)," ",""))+1</f>
        <v>41</v>
      </c>
      <c r="F10" s="32" t="n">
        <f aca="false">LEN(G10)</f>
        <v>230</v>
      </c>
      <c r="G10" s="13" t="s">
        <v>264</v>
      </c>
    </row>
    <row r="11" customFormat="false" ht="39.75" hidden="false" customHeight="true" outlineLevel="0" collapsed="false">
      <c r="B11" s="26" t="s">
        <v>432</v>
      </c>
      <c r="C11" s="18" t="s">
        <v>265</v>
      </c>
      <c r="D11" s="18" t="s">
        <v>431</v>
      </c>
      <c r="E11" s="32" t="n">
        <f aca="false">LEN(TRIM(G11))-LEN(SUBSTITUTE(TRIM(G11)," ",""))+1</f>
        <v>36</v>
      </c>
      <c r="F11" s="32" t="n">
        <f aca="false">LEN(G11)</f>
        <v>228</v>
      </c>
      <c r="G11" s="13" t="s">
        <v>268</v>
      </c>
    </row>
    <row r="12" customFormat="false" ht="39.75" hidden="false" customHeight="true" outlineLevel="0" collapsed="false">
      <c r="B12" s="26" t="s">
        <v>433</v>
      </c>
      <c r="C12" s="18" t="s">
        <v>269</v>
      </c>
      <c r="D12" s="18" t="s">
        <v>431</v>
      </c>
      <c r="E12" s="32" t="n">
        <f aca="false">LEN(TRIM(G12))-LEN(SUBSTITUTE(TRIM(G12)," ",""))+1</f>
        <v>36</v>
      </c>
      <c r="F12" s="32" t="n">
        <f aca="false">LEN(G12)</f>
        <v>219</v>
      </c>
      <c r="G12" s="13" t="s">
        <v>272</v>
      </c>
    </row>
    <row r="13" customFormat="false" ht="39.75" hidden="false" customHeight="true" outlineLevel="0" collapsed="false">
      <c r="B13" s="26" t="s">
        <v>434</v>
      </c>
      <c r="C13" s="18" t="s">
        <v>273</v>
      </c>
      <c r="D13" s="18" t="s">
        <v>431</v>
      </c>
      <c r="E13" s="32" t="n">
        <f aca="false">LEN(TRIM(G13))-LEN(SUBSTITUTE(TRIM(G13)," ",""))+1</f>
        <v>39</v>
      </c>
      <c r="F13" s="32" t="n">
        <f aca="false">LEN(G13)</f>
        <v>220</v>
      </c>
      <c r="G13" s="13" t="s">
        <v>276</v>
      </c>
    </row>
    <row r="14" customFormat="false" ht="39.75" hidden="false" customHeight="true" outlineLevel="0" collapsed="false">
      <c r="B14" s="27" t="s">
        <v>435</v>
      </c>
      <c r="C14" s="18" t="s">
        <v>277</v>
      </c>
      <c r="D14" s="18" t="s">
        <v>425</v>
      </c>
      <c r="E14" s="32" t="n">
        <f aca="false">LEN(TRIM(G14))-LEN(SUBSTITUTE(TRIM(G14)," ",""))+1</f>
        <v>38</v>
      </c>
      <c r="F14" s="32" t="n">
        <f aca="false">LEN(G14)</f>
        <v>226</v>
      </c>
      <c r="G14" s="13" t="s">
        <v>436</v>
      </c>
    </row>
    <row r="15" customFormat="false" ht="39.75" hidden="false" customHeight="true" outlineLevel="0" collapsed="false">
      <c r="B15" s="27" t="s">
        <v>437</v>
      </c>
      <c r="C15" s="18" t="s">
        <v>277</v>
      </c>
      <c r="D15" s="18" t="s">
        <v>428</v>
      </c>
      <c r="E15" s="32" t="n">
        <f aca="false">LEN(TRIM(G15))-LEN(SUBSTITUTE(TRIM(G15)," ",""))+1</f>
        <v>35</v>
      </c>
      <c r="F15" s="32" t="n">
        <f aca="false">LEN(G15)</f>
        <v>235</v>
      </c>
      <c r="G15" s="13" t="s">
        <v>438</v>
      </c>
    </row>
    <row r="16" customFormat="false" ht="39.75" hidden="false" customHeight="true" outlineLevel="0" collapsed="false">
      <c r="B16" s="26" t="s">
        <v>439</v>
      </c>
      <c r="C16" s="18" t="s">
        <v>281</v>
      </c>
      <c r="D16" s="18" t="s">
        <v>431</v>
      </c>
      <c r="E16" s="32" t="n">
        <f aca="false">LEN(TRIM(G16))-LEN(SUBSTITUTE(TRIM(G16)," ",""))+1</f>
        <v>36</v>
      </c>
      <c r="F16" s="32" t="n">
        <f aca="false">LEN(G16)</f>
        <v>225</v>
      </c>
      <c r="G16" s="13" t="s">
        <v>284</v>
      </c>
    </row>
    <row r="17" customFormat="false" ht="39.75" hidden="false" customHeight="true" outlineLevel="0" collapsed="false">
      <c r="B17" s="33" t="s">
        <v>440</v>
      </c>
      <c r="C17" s="18" t="s">
        <v>285</v>
      </c>
      <c r="D17" s="18" t="s">
        <v>425</v>
      </c>
      <c r="E17" s="32" t="n">
        <f aca="false">LEN(TRIM(G17))-LEN(SUBSTITUTE(TRIM(G17)," ",""))+1</f>
        <v>33</v>
      </c>
      <c r="F17" s="32" t="n">
        <f aca="false">LEN(G17)</f>
        <v>204</v>
      </c>
      <c r="G17" s="13" t="s">
        <v>441</v>
      </c>
    </row>
    <row r="18" customFormat="false" ht="39.75" hidden="false" customHeight="true" outlineLevel="0" collapsed="false">
      <c r="B18" s="33" t="s">
        <v>442</v>
      </c>
      <c r="C18" s="18" t="s">
        <v>285</v>
      </c>
      <c r="D18" s="18" t="s">
        <v>428</v>
      </c>
      <c r="E18" s="32" t="n">
        <f aca="false">LEN(TRIM(G18))-LEN(SUBSTITUTE(TRIM(G18)," ",""))+1</f>
        <v>42</v>
      </c>
      <c r="F18" s="32" t="n">
        <f aca="false">LEN(G18)</f>
        <v>244</v>
      </c>
      <c r="G18" s="13" t="s">
        <v>443</v>
      </c>
    </row>
    <row r="19" customFormat="false" ht="39.75" hidden="false" customHeight="true" outlineLevel="0" collapsed="false">
      <c r="B19" s="26" t="s">
        <v>444</v>
      </c>
      <c r="C19" s="18" t="s">
        <v>289</v>
      </c>
      <c r="D19" s="18" t="s">
        <v>431</v>
      </c>
      <c r="E19" s="32" t="n">
        <f aca="false">LEN(TRIM(G19))-LEN(SUBSTITUTE(TRIM(G19)," ",""))+1</f>
        <v>35</v>
      </c>
      <c r="F19" s="32" t="n">
        <f aca="false">LEN(G19)</f>
        <v>218</v>
      </c>
      <c r="G19" s="13" t="s">
        <v>293</v>
      </c>
    </row>
    <row r="20" customFormat="false" ht="39.75" hidden="false" customHeight="true" outlineLevel="0" collapsed="false">
      <c r="B20" s="26" t="s">
        <v>445</v>
      </c>
      <c r="C20" s="18" t="s">
        <v>294</v>
      </c>
      <c r="D20" s="18" t="s">
        <v>431</v>
      </c>
      <c r="E20" s="32" t="n">
        <f aca="false">LEN(TRIM(G20))-LEN(SUBSTITUTE(TRIM(G20)," ",""))+1</f>
        <v>35</v>
      </c>
      <c r="F20" s="32" t="n">
        <f aca="false">LEN(G20)</f>
        <v>211</v>
      </c>
      <c r="G20" s="13" t="s">
        <v>296</v>
      </c>
    </row>
    <row r="21" customFormat="false" ht="39.75" hidden="false" customHeight="true" outlineLevel="0" collapsed="false">
      <c r="B21" s="26" t="s">
        <v>446</v>
      </c>
      <c r="C21" s="18" t="s">
        <v>297</v>
      </c>
      <c r="D21" s="18" t="s">
        <v>431</v>
      </c>
      <c r="E21" s="32" t="n">
        <f aca="false">LEN(TRIM(G21))-LEN(SUBSTITUTE(TRIM(G21)," ",""))+1</f>
        <v>30</v>
      </c>
      <c r="F21" s="32" t="n">
        <f aca="false">LEN(G21)</f>
        <v>207</v>
      </c>
      <c r="G21" s="13" t="s">
        <v>300</v>
      </c>
    </row>
    <row r="22" customFormat="false" ht="39.75" hidden="false" customHeight="true" outlineLevel="0" collapsed="false">
      <c r="B22" s="26" t="s">
        <v>447</v>
      </c>
      <c r="C22" s="18" t="s">
        <v>301</v>
      </c>
      <c r="D22" s="18" t="s">
        <v>431</v>
      </c>
      <c r="E22" s="32" t="n">
        <f aca="false">LEN(TRIM(G22))-LEN(SUBSTITUTE(TRIM(G22)," ",""))+1</f>
        <v>28</v>
      </c>
      <c r="F22" s="32" t="n">
        <f aca="false">LEN(G22)</f>
        <v>162</v>
      </c>
      <c r="G22" s="13" t="s">
        <v>304</v>
      </c>
    </row>
    <row r="23" customFormat="false" ht="39.75" hidden="false" customHeight="true" outlineLevel="0" collapsed="false">
      <c r="B23" s="26" t="s">
        <v>448</v>
      </c>
      <c r="C23" s="18" t="s">
        <v>305</v>
      </c>
      <c r="D23" s="18" t="s">
        <v>425</v>
      </c>
      <c r="E23" s="32" t="n">
        <f aca="false">LEN(TRIM(G23))-LEN(SUBSTITUTE(TRIM(G23)," ",""))+1</f>
        <v>32</v>
      </c>
      <c r="F23" s="32" t="n">
        <f aca="false">LEN(G23)</f>
        <v>164</v>
      </c>
      <c r="G23" s="13" t="s">
        <v>449</v>
      </c>
    </row>
    <row r="24" customFormat="false" ht="39.75" hidden="false" customHeight="true" outlineLevel="0" collapsed="false">
      <c r="B24" s="26" t="s">
        <v>450</v>
      </c>
      <c r="C24" s="18" t="s">
        <v>305</v>
      </c>
      <c r="D24" s="18" t="s">
        <v>428</v>
      </c>
      <c r="E24" s="32" t="n">
        <f aca="false">LEN(TRIM(G24))-LEN(SUBSTITUTE(TRIM(G24)," ",""))+1</f>
        <v>37</v>
      </c>
      <c r="F24" s="32" t="n">
        <f aca="false">LEN(G24)</f>
        <v>242</v>
      </c>
      <c r="G24" s="13" t="s">
        <v>451</v>
      </c>
    </row>
    <row r="25" customFormat="false" ht="39.75" hidden="false" customHeight="true" outlineLevel="0" collapsed="false">
      <c r="B25" s="26" t="s">
        <v>452</v>
      </c>
      <c r="C25" s="18" t="s">
        <v>309</v>
      </c>
      <c r="D25" s="18" t="s">
        <v>431</v>
      </c>
      <c r="E25" s="32" t="n">
        <f aca="false">LEN(TRIM(G25))-LEN(SUBSTITUTE(TRIM(G25)," ",""))+1</f>
        <v>31</v>
      </c>
      <c r="F25" s="32" t="n">
        <f aca="false">LEN(G25)</f>
        <v>187</v>
      </c>
      <c r="G25" s="13" t="s">
        <v>311</v>
      </c>
    </row>
    <row r="26" customFormat="false" ht="6.75" hidden="false" customHeight="true" outlineLevel="0" collapsed="false"/>
    <row r="27" customFormat="false" ht="57.75" hidden="false" customHeight="true" outlineLevel="0" collapsed="false">
      <c r="B27" s="10" t="s">
        <v>453</v>
      </c>
      <c r="C27" s="10"/>
      <c r="D27" s="10"/>
      <c r="E27" s="10"/>
      <c r="F27" s="10"/>
    </row>
    <row r="28" customFormat="false" ht="45" hidden="false" customHeight="true" outlineLevel="0" collapsed="false">
      <c r="B28" s="34" t="s">
        <v>454</v>
      </c>
      <c r="C28" s="34"/>
      <c r="D28" s="34"/>
      <c r="E28" s="34"/>
      <c r="F28" s="34"/>
    </row>
  </sheetData>
  <mergeCells count="5">
    <mergeCell ref="B2:F2"/>
    <mergeCell ref="B3:F3"/>
    <mergeCell ref="B5:F5"/>
    <mergeCell ref="B27:F27"/>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V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7" topLeftCell="E8" activePane="bottomRight" state="frozen"/>
      <selection pane="topLeft" activeCell="A1" activeCellId="0" sqref="A1"/>
      <selection pane="topRight" activeCell="E1" activeCellId="0" sqref="E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3" min="3" style="0" width="12"/>
    <col collapsed="false" customWidth="true" hidden="false" outlineLevel="0" max="4" min="4" style="0" width="10"/>
    <col collapsed="false" customWidth="true" hidden="false" outlineLevel="0" max="22" min="5" style="0" width="6.39"/>
  </cols>
  <sheetData>
    <row r="2" customFormat="false" ht="30" hidden="false" customHeight="true" outlineLevel="0" collapsed="false">
      <c r="B2" s="1" t="s">
        <v>455</v>
      </c>
      <c r="C2" s="1"/>
      <c r="D2" s="1"/>
      <c r="E2" s="1"/>
      <c r="F2" s="1"/>
      <c r="G2" s="1"/>
      <c r="H2" s="1"/>
      <c r="I2" s="1"/>
      <c r="J2" s="1"/>
      <c r="K2" s="1"/>
      <c r="L2" s="1"/>
      <c r="M2" s="1"/>
      <c r="N2" s="1"/>
      <c r="O2" s="1"/>
      <c r="P2" s="1"/>
      <c r="Q2" s="1"/>
      <c r="R2" s="1"/>
      <c r="S2" s="1"/>
      <c r="T2" s="1"/>
      <c r="U2" s="1"/>
      <c r="V2" s="1"/>
    </row>
    <row r="3" customFormat="false" ht="19.5" hidden="false" customHeight="true" outlineLevel="0" collapsed="false">
      <c r="B3" s="2" t="s">
        <v>456</v>
      </c>
      <c r="C3" s="2"/>
      <c r="D3" s="2"/>
      <c r="E3" s="2"/>
      <c r="F3" s="2"/>
      <c r="G3" s="2"/>
      <c r="H3" s="2"/>
      <c r="I3" s="2"/>
      <c r="J3" s="2"/>
      <c r="K3" s="2"/>
      <c r="L3" s="2"/>
      <c r="M3" s="2"/>
      <c r="N3" s="2"/>
      <c r="O3" s="2"/>
      <c r="P3" s="2"/>
      <c r="Q3" s="2"/>
      <c r="R3" s="2"/>
      <c r="S3" s="2"/>
      <c r="T3" s="2"/>
      <c r="U3" s="2"/>
      <c r="V3" s="2"/>
    </row>
    <row r="5" customFormat="false" ht="15.75" hidden="false" customHeight="true" outlineLevel="0" collapsed="false">
      <c r="B5" s="35" t="s">
        <v>457</v>
      </c>
      <c r="D5" s="36" t="str">
        <f aca="false">" "&amp;LOWER(00_START_HERE!$C$8)&amp;" "</f>
        <v> how much can i claim for a home office desk </v>
      </c>
    </row>
    <row r="6" customFormat="false" ht="12.75" hidden="false" customHeight="true" outlineLevel="0" collapsed="false">
      <c r="B6" s="37" t="s">
        <v>458</v>
      </c>
      <c r="C6" s="37" t="s">
        <v>459</v>
      </c>
      <c r="E6" s="38" t="str">
        <f aca="false">" "&amp;LOWER(06_Chunks!$G$8)&amp;" "</f>
        <v> full-time employees receive 24 days of annual leave each calendar year, accrued monthly. leave requests must be submitted through the hr portal at least 10 working days in advance and require manager approval. </v>
      </c>
      <c r="F6" s="38" t="str">
        <f aca="false">" "&amp;LOWER(06_Chunks!$G$9)&amp;" "</f>
        <v> unused leave up to 6 days may be carried into the next year. public holidays are additional to annual leave and follow the telangana state calendar. leave taken during a notice period must be approved in writing by hr. </v>
      </c>
      <c r="G6" s="38" t="str">
        <f aca="false">" "&amp;LOWER(06_Chunks!$G$10)&amp;" "</f>
        <v> employees may take up to 12 days of paid sick leave per year. for any absence longer than 3 consecutive days a medical certificate from a registered doctor is required. notify your manager before 10:00 on the first day of illness. </v>
      </c>
      <c r="H6" s="38" t="str">
        <f aca="false">" "&amp;LOWER(06_Chunks!$G$11)&amp;" "</f>
        <v> primary caregivers receive 26 weeks of paid parental leave; secondary caregivers receive 8 weeks. requests should be submitted to hr at least 60 days before the expected date. parental leave does not reduce annual leave accrual. </v>
      </c>
      <c r="I6" s="38" t="str">
        <f aca="false">" "&amp;LOWER(06_Chunks!$G$12)&amp;" "</f>
        <v> salary is set within published bands for each role level. pay reviews happen every april and are based on the performance rating agreed with your manager. band movements require approval from hr and the department head. </v>
      </c>
      <c r="J6" s="38" t="str">
        <f aca="false">" "&amp;LOWER(06_Chunks!$G$13)&amp;" "</f>
        <v> the annual bonus pool is funded at 10 percent of salary cost and is paid each june. individual bonus depends on company performance and your rating. employees who join after 1 october are not eligible in that bonus year. </v>
      </c>
      <c r="K6" s="38" t="str">
        <f aca="false">" "&amp;LOWER(06_Chunks!$G$14)&amp;" "</f>
        <v> to claim a work expense, submit the receipt through the expense portal within 30 days of the spend. claims over 5,000 rupees require manager approval before the cost is incurred. reimbursement is paid with the next salary run. </v>
      </c>
      <c r="L6" s="38" t="str">
        <f aca="false">" "&amp;LOWER(06_Chunks!$G$15)&amp;" "</f>
        <v> travel, client meals and professional subscriptions may be claimed as expenses. home office equipment is not claimed through this process; see the remote work allowance in section a.3.2. claims submitted without a receipt are rejected. </v>
      </c>
      <c r="M6" s="38" t="str">
        <f aca="false">" "&amp;LOWER(06_Chunks!$G$16)&amp;" "</f>
        <v> employees may work remotely up to 3 days per week after completing probation. fully remote arrangements need approval from your manager and the department head. your home working location must be declared to hr for insurance. </v>
      </c>
      <c r="N6" s="38" t="str">
        <f aca="false">" "&amp;LOWER(06_Chunks!$G$17)&amp;" "</f>
        <v> each remote employee receives a one-time home office equipment allowance of 60,000 rupees. the allowance covers a desk, an ergonomic chair, a monitor, a keyboard and a headset. it refreshes every 4 years. </v>
      </c>
      <c r="O6" s="38" t="str">
        <f aca="false">" "&amp;LOWER(06_Chunks!$G$18)&amp;" "</f>
        <v> order home office equipment through the internal catalogue; do not pay for it yourself. within the allowance a desk may cost up to 25,000 rupees and a chair up to 20,000 rupees. equipment remains company property and is returned when you leave. </v>
      </c>
      <c r="P6" s="38" t="str">
        <f aca="false">" "&amp;LOWER(06_Chunks!$G$19)&amp;" "</f>
        <v> every company laptop must have full disk encryption enabled before first use. screens must lock automatically after 5 minutes of inactivity. do not store customer data on the local device; use the approved cloud drive. </v>
      </c>
      <c r="Q6" s="38" t="str">
        <f aca="false">" "&amp;LOWER(06_Chunks!$G$20)&amp;" "</f>
        <v> only software from the approved catalogue may be installed on a company device. requests for new software go to the it team and need a security review. personal software and browser extensions are not permitted. </v>
      </c>
      <c r="R6" s="38" t="str">
        <f aca="false">" "&amp;LOWER(06_Chunks!$G$21)&amp;" "</f>
        <v> passwords must be at least 14 characters and are never shared. multi-factor authentication is mandatory for email, the hr portal and the code repository. report any suspected password compromise immediately. </v>
      </c>
      <c r="S6" s="38" t="str">
        <f aca="false">" "&amp;LOWER(06_Chunks!$G$22)&amp;" "</f>
        <v> shared accounts are not permitted except for approved service accounts owned by the it team. each service account has a named owner and is reviewed every 90 days. </v>
      </c>
      <c r="T6" s="38" t="str">
        <f aca="false">" "&amp;LOWER(06_Chunks!$G$23)&amp;" "</f>
        <v> if a laptop or phone is lost or stolen, call the it service desk within 1 hour and file an incident report in the security portal. it will remotely wipe the device. </v>
      </c>
      <c r="U6" s="38" t="str">
        <f aca="false">" "&amp;LOWER(06_Chunks!$G$24)&amp;" "</f>
        <v> after a stolen device is reported you must reset your password and re-enrol multi-factor authentication on the replacement. the security team will review whether customer data was exposed. a replacement laptop is issued within 2 working days. </v>
      </c>
      <c r="V6" s="38" t="str">
        <f aca="false">" "&amp;LOWER(06_Chunks!$G$25)&amp;" "</f>
        <v> forward any suspicious email to the security team and then delete it. do not click links or open attachments. if you already clicked, report the incident to the security team immediately. </v>
      </c>
    </row>
    <row r="7" customFormat="false" ht="30" hidden="false" customHeight="true" outlineLevel="0" collapsed="false">
      <c r="B7" s="11" t="s">
        <v>460</v>
      </c>
      <c r="C7" s="11" t="s">
        <v>461</v>
      </c>
      <c r="D7" s="11" t="s">
        <v>462</v>
      </c>
      <c r="E7" s="11" t="s">
        <v>424</v>
      </c>
      <c r="F7" s="11" t="s">
        <v>427</v>
      </c>
      <c r="G7" s="11" t="s">
        <v>430</v>
      </c>
      <c r="H7" s="11" t="s">
        <v>432</v>
      </c>
      <c r="I7" s="11" t="s">
        <v>433</v>
      </c>
      <c r="J7" s="11" t="s">
        <v>434</v>
      </c>
      <c r="K7" s="11" t="s">
        <v>435</v>
      </c>
      <c r="L7" s="11" t="s">
        <v>437</v>
      </c>
      <c r="M7" s="11" t="s">
        <v>439</v>
      </c>
      <c r="N7" s="11" t="s">
        <v>440</v>
      </c>
      <c r="O7" s="11" t="s">
        <v>442</v>
      </c>
      <c r="P7" s="11" t="s">
        <v>444</v>
      </c>
      <c r="Q7" s="11" t="s">
        <v>445</v>
      </c>
      <c r="R7" s="11" t="s">
        <v>446</v>
      </c>
      <c r="S7" s="11" t="s">
        <v>447</v>
      </c>
      <c r="T7" s="11" t="s">
        <v>448</v>
      </c>
      <c r="U7" s="11" t="s">
        <v>450</v>
      </c>
      <c r="V7" s="11" t="s">
        <v>452</v>
      </c>
    </row>
    <row r="8" customFormat="false" ht="13.5" hidden="false" customHeight="true" outlineLevel="0" collapsed="false">
      <c r="B8" s="39" t="s">
        <v>463</v>
      </c>
      <c r="C8" s="40" t="s">
        <v>464</v>
      </c>
      <c r="D8" s="41" t="n">
        <f aca="false">IFERROR((LEN($D$5)-LEN(SUBSTITUTE($D$5,$B8,"")))/LEN($B8),0)</f>
        <v>0</v>
      </c>
      <c r="E8" s="42" t="n">
        <f aca="false">IFERROR((LEN(E$6)-LEN(SUBSTITUTE(E$6,$B8,"")))/LEN($B8),0)</f>
        <v>2</v>
      </c>
      <c r="F8" s="42" t="n">
        <f aca="false">IFERROR((LEN(F$6)-LEN(SUBSTITUTE(F$6,$B8,"")))/LEN($B8),0)</f>
        <v>3</v>
      </c>
      <c r="G8" s="42" t="n">
        <f aca="false">IFERROR((LEN(G$6)-LEN(SUBSTITUTE(G$6,$B8,"")))/LEN($B8),0)</f>
        <v>1</v>
      </c>
      <c r="H8" s="42" t="n">
        <f aca="false">IFERROR((LEN(H$6)-LEN(SUBSTITUTE(H$6,$B8,"")))/LEN($B8),0)</f>
        <v>3</v>
      </c>
      <c r="I8" s="42" t="n">
        <f aca="false">IFERROR((LEN(I$6)-LEN(SUBSTITUTE(I$6,$B8,"")))/LEN($B8),0)</f>
        <v>0</v>
      </c>
      <c r="J8" s="42" t="n">
        <f aca="false">IFERROR((LEN(J$6)-LEN(SUBSTITUTE(J$6,$B8,"")))/LEN($B8),0)</f>
        <v>0</v>
      </c>
      <c r="K8" s="42" t="n">
        <f aca="false">IFERROR((LEN(K$6)-LEN(SUBSTITUTE(K$6,$B8,"")))/LEN($B8),0)</f>
        <v>0</v>
      </c>
      <c r="L8" s="42" t="n">
        <f aca="false">IFERROR((LEN(L$6)-LEN(SUBSTITUTE(L$6,$B8,"")))/LEN($B8),0)</f>
        <v>0</v>
      </c>
      <c r="M8" s="42" t="n">
        <f aca="false">IFERROR((LEN(M$6)-LEN(SUBSTITUTE(M$6,$B8,"")))/LEN($B8),0)</f>
        <v>0</v>
      </c>
      <c r="N8" s="42" t="n">
        <f aca="false">IFERROR((LEN(N$6)-LEN(SUBSTITUTE(N$6,$B8,"")))/LEN($B8),0)</f>
        <v>0</v>
      </c>
      <c r="O8" s="42" t="n">
        <f aca="false">IFERROR((LEN(O$6)-LEN(SUBSTITUTE(O$6,$B8,"")))/LEN($B8),0)</f>
        <v>1</v>
      </c>
      <c r="P8" s="42" t="n">
        <f aca="false">IFERROR((LEN(P$6)-LEN(SUBSTITUTE(P$6,$B8,"")))/LEN($B8),0)</f>
        <v>0</v>
      </c>
      <c r="Q8" s="42" t="n">
        <f aca="false">IFERROR((LEN(Q$6)-LEN(SUBSTITUTE(Q$6,$B8,"")))/LEN($B8),0)</f>
        <v>0</v>
      </c>
      <c r="R8" s="42" t="n">
        <f aca="false">IFERROR((LEN(R$6)-LEN(SUBSTITUTE(R$6,$B8,"")))/LEN($B8),0)</f>
        <v>0</v>
      </c>
      <c r="S8" s="42" t="n">
        <f aca="false">IFERROR((LEN(S$6)-LEN(SUBSTITUTE(S$6,$B8,"")))/LEN($B8),0)</f>
        <v>0</v>
      </c>
      <c r="T8" s="42" t="n">
        <f aca="false">IFERROR((LEN(T$6)-LEN(SUBSTITUTE(T$6,$B8,"")))/LEN($B8),0)</f>
        <v>0</v>
      </c>
      <c r="U8" s="42" t="n">
        <f aca="false">IFERROR((LEN(U$6)-LEN(SUBSTITUTE(U$6,$B8,"")))/LEN($B8),0)</f>
        <v>0</v>
      </c>
      <c r="V8" s="42" t="n">
        <f aca="false">IFERROR((LEN(V$6)-LEN(SUBSTITUTE(V$6,$B8,"")))/LEN($B8),0)</f>
        <v>0</v>
      </c>
    </row>
    <row r="9" customFormat="false" ht="13.5" hidden="false" customHeight="true" outlineLevel="0" collapsed="false">
      <c r="B9" s="39" t="s">
        <v>465</v>
      </c>
      <c r="C9" s="40" t="s">
        <v>464</v>
      </c>
      <c r="D9" s="41" t="n">
        <f aca="false">IFERROR((LEN($D$5)-LEN(SUBSTITUTE($D$5,$B9,"")))/LEN($B9),0)</f>
        <v>0</v>
      </c>
      <c r="E9" s="42" t="n">
        <f aca="false">IFERROR((LEN(E$6)-LEN(SUBSTITUTE(E$6,$B9,"")))/LEN($B9),0)</f>
        <v>0</v>
      </c>
      <c r="F9" s="42" t="n">
        <f aca="false">IFERROR((LEN(F$6)-LEN(SUBSTITUTE(F$6,$B9,"")))/LEN($B9),0)</f>
        <v>1</v>
      </c>
      <c r="G9" s="42" t="n">
        <f aca="false">IFERROR((LEN(G$6)-LEN(SUBSTITUTE(G$6,$B9,"")))/LEN($B9),0)</f>
        <v>0</v>
      </c>
      <c r="H9" s="42" t="n">
        <f aca="false">IFERROR((LEN(H$6)-LEN(SUBSTITUTE(H$6,$B9,"")))/LEN($B9),0)</f>
        <v>0</v>
      </c>
      <c r="I9" s="42" t="n">
        <f aca="false">IFERROR((LEN(I$6)-LEN(SUBSTITUTE(I$6,$B9,"")))/LEN($B9),0)</f>
        <v>0</v>
      </c>
      <c r="J9" s="42" t="n">
        <f aca="false">IFERROR((LEN(J$6)-LEN(SUBSTITUTE(J$6,$B9,"")))/LEN($B9),0)</f>
        <v>0</v>
      </c>
      <c r="K9" s="42" t="n">
        <f aca="false">IFERROR((LEN(K$6)-LEN(SUBSTITUTE(K$6,$B9,"")))/LEN($B9),0)</f>
        <v>0</v>
      </c>
      <c r="L9" s="42" t="n">
        <f aca="false">IFERROR((LEN(L$6)-LEN(SUBSTITUTE(L$6,$B9,"")))/LEN($B9),0)</f>
        <v>0</v>
      </c>
      <c r="M9" s="42" t="n">
        <f aca="false">IFERROR((LEN(M$6)-LEN(SUBSTITUTE(M$6,$B9,"")))/LEN($B9),0)</f>
        <v>0</v>
      </c>
      <c r="N9" s="42" t="n">
        <f aca="false">IFERROR((LEN(N$6)-LEN(SUBSTITUTE(N$6,$B9,"")))/LEN($B9),0)</f>
        <v>0</v>
      </c>
      <c r="O9" s="42" t="n">
        <f aca="false">IFERROR((LEN(O$6)-LEN(SUBSTITUTE(O$6,$B9,"")))/LEN($B9),0)</f>
        <v>0</v>
      </c>
      <c r="P9" s="42" t="n">
        <f aca="false">IFERROR((LEN(P$6)-LEN(SUBSTITUTE(P$6,$B9,"")))/LEN($B9),0)</f>
        <v>0</v>
      </c>
      <c r="Q9" s="42" t="n">
        <f aca="false">IFERROR((LEN(Q$6)-LEN(SUBSTITUTE(Q$6,$B9,"")))/LEN($B9),0)</f>
        <v>0</v>
      </c>
      <c r="R9" s="42" t="n">
        <f aca="false">IFERROR((LEN(R$6)-LEN(SUBSTITUTE(R$6,$B9,"")))/LEN($B9),0)</f>
        <v>0</v>
      </c>
      <c r="S9" s="42" t="n">
        <f aca="false">IFERROR((LEN(S$6)-LEN(SUBSTITUTE(S$6,$B9,"")))/LEN($B9),0)</f>
        <v>0</v>
      </c>
      <c r="T9" s="42" t="n">
        <f aca="false">IFERROR((LEN(T$6)-LEN(SUBSTITUTE(T$6,$B9,"")))/LEN($B9),0)</f>
        <v>0</v>
      </c>
      <c r="U9" s="42" t="n">
        <f aca="false">IFERROR((LEN(U$6)-LEN(SUBSTITUTE(U$6,$B9,"")))/LEN($B9),0)</f>
        <v>0</v>
      </c>
      <c r="V9" s="42" t="n">
        <f aca="false">IFERROR((LEN(V$6)-LEN(SUBSTITUTE(V$6,$B9,"")))/LEN($B9),0)</f>
        <v>0</v>
      </c>
    </row>
    <row r="10" customFormat="false" ht="13.5" hidden="false" customHeight="true" outlineLevel="0" collapsed="false">
      <c r="B10" s="39" t="s">
        <v>466</v>
      </c>
      <c r="C10" s="40" t="s">
        <v>464</v>
      </c>
      <c r="D10" s="41" t="n">
        <f aca="false">IFERROR((LEN($D$5)-LEN(SUBSTITUTE($D$5,$B10,"")))/LEN($B10),0)</f>
        <v>0</v>
      </c>
      <c r="E10" s="42" t="n">
        <f aca="false">IFERROR((LEN(E$6)-LEN(SUBSTITUTE(E$6,$B10,"")))/LEN($B10),0)</f>
        <v>0</v>
      </c>
      <c r="F10" s="42" t="n">
        <f aca="false">IFERROR((LEN(F$6)-LEN(SUBSTITUTE(F$6,$B10,"")))/LEN($B10),0)</f>
        <v>0</v>
      </c>
      <c r="G10" s="42" t="n">
        <f aca="false">IFERROR((LEN(G$6)-LEN(SUBSTITUTE(G$6,$B10,"")))/LEN($B10),0)</f>
        <v>1</v>
      </c>
      <c r="H10" s="42" t="n">
        <f aca="false">IFERROR((LEN(H$6)-LEN(SUBSTITUTE(H$6,$B10,"")))/LEN($B10),0)</f>
        <v>0</v>
      </c>
      <c r="I10" s="42" t="n">
        <f aca="false">IFERROR((LEN(I$6)-LEN(SUBSTITUTE(I$6,$B10,"")))/LEN($B10),0)</f>
        <v>0</v>
      </c>
      <c r="J10" s="42" t="n">
        <f aca="false">IFERROR((LEN(J$6)-LEN(SUBSTITUTE(J$6,$B10,"")))/LEN($B10),0)</f>
        <v>0</v>
      </c>
      <c r="K10" s="42" t="n">
        <f aca="false">IFERROR((LEN(K$6)-LEN(SUBSTITUTE(K$6,$B10,"")))/LEN($B10),0)</f>
        <v>0</v>
      </c>
      <c r="L10" s="42" t="n">
        <f aca="false">IFERROR((LEN(L$6)-LEN(SUBSTITUTE(L$6,$B10,"")))/LEN($B10),0)</f>
        <v>0</v>
      </c>
      <c r="M10" s="42" t="n">
        <f aca="false">IFERROR((LEN(M$6)-LEN(SUBSTITUTE(M$6,$B10,"")))/LEN($B10),0)</f>
        <v>0</v>
      </c>
      <c r="N10" s="42" t="n">
        <f aca="false">IFERROR((LEN(N$6)-LEN(SUBSTITUTE(N$6,$B10,"")))/LEN($B10),0)</f>
        <v>0</v>
      </c>
      <c r="O10" s="42" t="n">
        <f aca="false">IFERROR((LEN(O$6)-LEN(SUBSTITUTE(O$6,$B10,"")))/LEN($B10),0)</f>
        <v>0</v>
      </c>
      <c r="P10" s="42" t="n">
        <f aca="false">IFERROR((LEN(P$6)-LEN(SUBSTITUTE(P$6,$B10,"")))/LEN($B10),0)</f>
        <v>0</v>
      </c>
      <c r="Q10" s="42" t="n">
        <f aca="false">IFERROR((LEN(Q$6)-LEN(SUBSTITUTE(Q$6,$B10,"")))/LEN($B10),0)</f>
        <v>0</v>
      </c>
      <c r="R10" s="42" t="n">
        <f aca="false">IFERROR((LEN(R$6)-LEN(SUBSTITUTE(R$6,$B10,"")))/LEN($B10),0)</f>
        <v>0</v>
      </c>
      <c r="S10" s="42" t="n">
        <f aca="false">IFERROR((LEN(S$6)-LEN(SUBSTITUTE(S$6,$B10,"")))/LEN($B10),0)</f>
        <v>0</v>
      </c>
      <c r="T10" s="42" t="n">
        <f aca="false">IFERROR((LEN(T$6)-LEN(SUBSTITUTE(T$6,$B10,"")))/LEN($B10),0)</f>
        <v>0</v>
      </c>
      <c r="U10" s="42" t="n">
        <f aca="false">IFERROR((LEN(U$6)-LEN(SUBSTITUTE(U$6,$B10,"")))/LEN($B10),0)</f>
        <v>0</v>
      </c>
      <c r="V10" s="42" t="n">
        <f aca="false">IFERROR((LEN(V$6)-LEN(SUBSTITUTE(V$6,$B10,"")))/LEN($B10),0)</f>
        <v>0</v>
      </c>
    </row>
    <row r="11" customFormat="false" ht="13.5" hidden="false" customHeight="true" outlineLevel="0" collapsed="false">
      <c r="B11" s="39" t="s">
        <v>467</v>
      </c>
      <c r="C11" s="40" t="s">
        <v>464</v>
      </c>
      <c r="D11" s="41" t="n">
        <f aca="false">IFERROR((LEN($D$5)-LEN(SUBSTITUTE($D$5,$B11,"")))/LEN($B11),0)</f>
        <v>0</v>
      </c>
      <c r="E11" s="42" t="n">
        <f aca="false">IFERROR((LEN(E$6)-LEN(SUBSTITUTE(E$6,$B11,"")))/LEN($B11),0)</f>
        <v>0</v>
      </c>
      <c r="F11" s="42" t="n">
        <f aca="false">IFERROR((LEN(F$6)-LEN(SUBSTITUTE(F$6,$B11,"")))/LEN($B11),0)</f>
        <v>0</v>
      </c>
      <c r="G11" s="42" t="n">
        <f aca="false">IFERROR((LEN(G$6)-LEN(SUBSTITUTE(G$6,$B11,"")))/LEN($B11),0)</f>
        <v>0</v>
      </c>
      <c r="H11" s="42" t="n">
        <f aca="false">IFERROR((LEN(H$6)-LEN(SUBSTITUTE(H$6,$B11,"")))/LEN($B11),0)</f>
        <v>2</v>
      </c>
      <c r="I11" s="42" t="n">
        <f aca="false">IFERROR((LEN(I$6)-LEN(SUBSTITUTE(I$6,$B11,"")))/LEN($B11),0)</f>
        <v>0</v>
      </c>
      <c r="J11" s="42" t="n">
        <f aca="false">IFERROR((LEN(J$6)-LEN(SUBSTITUTE(J$6,$B11,"")))/LEN($B11),0)</f>
        <v>0</v>
      </c>
      <c r="K11" s="42" t="n">
        <f aca="false">IFERROR((LEN(K$6)-LEN(SUBSTITUTE(K$6,$B11,"")))/LEN($B11),0)</f>
        <v>0</v>
      </c>
      <c r="L11" s="42" t="n">
        <f aca="false">IFERROR((LEN(L$6)-LEN(SUBSTITUTE(L$6,$B11,"")))/LEN($B11),0)</f>
        <v>0</v>
      </c>
      <c r="M11" s="42" t="n">
        <f aca="false">IFERROR((LEN(M$6)-LEN(SUBSTITUTE(M$6,$B11,"")))/LEN($B11),0)</f>
        <v>0</v>
      </c>
      <c r="N11" s="42" t="n">
        <f aca="false">IFERROR((LEN(N$6)-LEN(SUBSTITUTE(N$6,$B11,"")))/LEN($B11),0)</f>
        <v>0</v>
      </c>
      <c r="O11" s="42" t="n">
        <f aca="false">IFERROR((LEN(O$6)-LEN(SUBSTITUTE(O$6,$B11,"")))/LEN($B11),0)</f>
        <v>0</v>
      </c>
      <c r="P11" s="42" t="n">
        <f aca="false">IFERROR((LEN(P$6)-LEN(SUBSTITUTE(P$6,$B11,"")))/LEN($B11),0)</f>
        <v>0</v>
      </c>
      <c r="Q11" s="42" t="n">
        <f aca="false">IFERROR((LEN(Q$6)-LEN(SUBSTITUTE(Q$6,$B11,"")))/LEN($B11),0)</f>
        <v>0</v>
      </c>
      <c r="R11" s="42" t="n">
        <f aca="false">IFERROR((LEN(R$6)-LEN(SUBSTITUTE(R$6,$B11,"")))/LEN($B11),0)</f>
        <v>0</v>
      </c>
      <c r="S11" s="42" t="n">
        <f aca="false">IFERROR((LEN(S$6)-LEN(SUBSTITUTE(S$6,$B11,"")))/LEN($B11),0)</f>
        <v>0</v>
      </c>
      <c r="T11" s="42" t="n">
        <f aca="false">IFERROR((LEN(T$6)-LEN(SUBSTITUTE(T$6,$B11,"")))/LEN($B11),0)</f>
        <v>0</v>
      </c>
      <c r="U11" s="42" t="n">
        <f aca="false">IFERROR((LEN(U$6)-LEN(SUBSTITUTE(U$6,$B11,"")))/LEN($B11),0)</f>
        <v>0</v>
      </c>
      <c r="V11" s="42" t="n">
        <f aca="false">IFERROR((LEN(V$6)-LEN(SUBSTITUTE(V$6,$B11,"")))/LEN($B11),0)</f>
        <v>0</v>
      </c>
    </row>
    <row r="12" customFormat="false" ht="13.5" hidden="false" customHeight="true" outlineLevel="0" collapsed="false">
      <c r="B12" s="39" t="s">
        <v>468</v>
      </c>
      <c r="C12" s="40" t="s">
        <v>464</v>
      </c>
      <c r="D12" s="41" t="n">
        <f aca="false">IFERROR((LEN($D$5)-LEN(SUBSTITUTE($D$5,$B12,"")))/LEN($B12),0)</f>
        <v>0</v>
      </c>
      <c r="E12" s="42" t="n">
        <f aca="false">IFERROR((LEN(E$6)-LEN(SUBSTITUTE(E$6,$B12,"")))/LEN($B12),0)</f>
        <v>0</v>
      </c>
      <c r="F12" s="42" t="n">
        <f aca="false">IFERROR((LEN(F$6)-LEN(SUBSTITUTE(F$6,$B12,"")))/LEN($B12),0)</f>
        <v>0</v>
      </c>
      <c r="G12" s="42" t="n">
        <f aca="false">IFERROR((LEN(G$6)-LEN(SUBSTITUTE(G$6,$B12,"")))/LEN($B12),0)</f>
        <v>0</v>
      </c>
      <c r="H12" s="42" t="n">
        <f aca="false">IFERROR((LEN(H$6)-LEN(SUBSTITUTE(H$6,$B12,"")))/LEN($B12),0)</f>
        <v>2</v>
      </c>
      <c r="I12" s="42" t="n">
        <f aca="false">IFERROR((LEN(I$6)-LEN(SUBSTITUTE(I$6,$B12,"")))/LEN($B12),0)</f>
        <v>0</v>
      </c>
      <c r="J12" s="42" t="n">
        <f aca="false">IFERROR((LEN(J$6)-LEN(SUBSTITUTE(J$6,$B12,"")))/LEN($B12),0)</f>
        <v>0</v>
      </c>
      <c r="K12" s="42" t="n">
        <f aca="false">IFERROR((LEN(K$6)-LEN(SUBSTITUTE(K$6,$B12,"")))/LEN($B12),0)</f>
        <v>0</v>
      </c>
      <c r="L12" s="42" t="n">
        <f aca="false">IFERROR((LEN(L$6)-LEN(SUBSTITUTE(L$6,$B12,"")))/LEN($B12),0)</f>
        <v>0</v>
      </c>
      <c r="M12" s="42" t="n">
        <f aca="false">IFERROR((LEN(M$6)-LEN(SUBSTITUTE(M$6,$B12,"")))/LEN($B12),0)</f>
        <v>0</v>
      </c>
      <c r="N12" s="42" t="n">
        <f aca="false">IFERROR((LEN(N$6)-LEN(SUBSTITUTE(N$6,$B12,"")))/LEN($B12),0)</f>
        <v>0</v>
      </c>
      <c r="O12" s="42" t="n">
        <f aca="false">IFERROR((LEN(O$6)-LEN(SUBSTITUTE(O$6,$B12,"")))/LEN($B12),0)</f>
        <v>0</v>
      </c>
      <c r="P12" s="42" t="n">
        <f aca="false">IFERROR((LEN(P$6)-LEN(SUBSTITUTE(P$6,$B12,"")))/LEN($B12),0)</f>
        <v>0</v>
      </c>
      <c r="Q12" s="42" t="n">
        <f aca="false">IFERROR((LEN(Q$6)-LEN(SUBSTITUTE(Q$6,$B12,"")))/LEN($B12),0)</f>
        <v>0</v>
      </c>
      <c r="R12" s="42" t="n">
        <f aca="false">IFERROR((LEN(R$6)-LEN(SUBSTITUTE(R$6,$B12,"")))/LEN($B12),0)</f>
        <v>0</v>
      </c>
      <c r="S12" s="42" t="n">
        <f aca="false">IFERROR((LEN(S$6)-LEN(SUBSTITUTE(S$6,$B12,"")))/LEN($B12),0)</f>
        <v>0</v>
      </c>
      <c r="T12" s="42" t="n">
        <f aca="false">IFERROR((LEN(T$6)-LEN(SUBSTITUTE(T$6,$B12,"")))/LEN($B12),0)</f>
        <v>0</v>
      </c>
      <c r="U12" s="42" t="n">
        <f aca="false">IFERROR((LEN(U$6)-LEN(SUBSTITUTE(U$6,$B12,"")))/LEN($B12),0)</f>
        <v>0</v>
      </c>
      <c r="V12" s="42" t="n">
        <f aca="false">IFERROR((LEN(V$6)-LEN(SUBSTITUTE(V$6,$B12,"")))/LEN($B12),0)</f>
        <v>0</v>
      </c>
    </row>
    <row r="13" customFormat="false" ht="13.5" hidden="false" customHeight="true" outlineLevel="0" collapsed="false">
      <c r="B13" s="39" t="s">
        <v>469</v>
      </c>
      <c r="C13" s="40" t="s">
        <v>464</v>
      </c>
      <c r="D13" s="41" t="n">
        <f aca="false">IFERROR((LEN($D$5)-LEN(SUBSTITUTE($D$5,$B13,"")))/LEN($B13),0)</f>
        <v>0</v>
      </c>
      <c r="E13" s="42" t="n">
        <f aca="false">IFERROR((LEN(E$6)-LEN(SUBSTITUTE(E$6,$B13,"")))/LEN($B13),0)</f>
        <v>1</v>
      </c>
      <c r="F13" s="42" t="n">
        <f aca="false">IFERROR((LEN(F$6)-LEN(SUBSTITUTE(F$6,$B13,"")))/LEN($B13),0)</f>
        <v>0</v>
      </c>
      <c r="G13" s="42" t="n">
        <f aca="false">IFERROR((LEN(G$6)-LEN(SUBSTITUTE(G$6,$B13,"")))/LEN($B13),0)</f>
        <v>0</v>
      </c>
      <c r="H13" s="42" t="n">
        <f aca="false">IFERROR((LEN(H$6)-LEN(SUBSTITUTE(H$6,$B13,"")))/LEN($B13),0)</f>
        <v>1</v>
      </c>
      <c r="I13" s="42" t="n">
        <f aca="false">IFERROR((LEN(I$6)-LEN(SUBSTITUTE(I$6,$B13,"")))/LEN($B13),0)</f>
        <v>0</v>
      </c>
      <c r="J13" s="42" t="n">
        <f aca="false">IFERROR((LEN(J$6)-LEN(SUBSTITUTE(J$6,$B13,"")))/LEN($B13),0)</f>
        <v>0</v>
      </c>
      <c r="K13" s="42" t="n">
        <f aca="false">IFERROR((LEN(K$6)-LEN(SUBSTITUTE(K$6,$B13,"")))/LEN($B13),0)</f>
        <v>0</v>
      </c>
      <c r="L13" s="42" t="n">
        <f aca="false">IFERROR((LEN(L$6)-LEN(SUBSTITUTE(L$6,$B13,"")))/LEN($B13),0)</f>
        <v>0</v>
      </c>
      <c r="M13" s="42" t="n">
        <f aca="false">IFERROR((LEN(M$6)-LEN(SUBSTITUTE(M$6,$B13,"")))/LEN($B13),0)</f>
        <v>0</v>
      </c>
      <c r="N13" s="42" t="n">
        <f aca="false">IFERROR((LEN(N$6)-LEN(SUBSTITUTE(N$6,$B13,"")))/LEN($B13),0)</f>
        <v>0</v>
      </c>
      <c r="O13" s="42" t="n">
        <f aca="false">IFERROR((LEN(O$6)-LEN(SUBSTITUTE(O$6,$B13,"")))/LEN($B13),0)</f>
        <v>0</v>
      </c>
      <c r="P13" s="42" t="n">
        <f aca="false">IFERROR((LEN(P$6)-LEN(SUBSTITUTE(P$6,$B13,"")))/LEN($B13),0)</f>
        <v>0</v>
      </c>
      <c r="Q13" s="42" t="n">
        <f aca="false">IFERROR((LEN(Q$6)-LEN(SUBSTITUTE(Q$6,$B13,"")))/LEN($B13),0)</f>
        <v>0</v>
      </c>
      <c r="R13" s="42" t="n">
        <f aca="false">IFERROR((LEN(R$6)-LEN(SUBSTITUTE(R$6,$B13,"")))/LEN($B13),0)</f>
        <v>0</v>
      </c>
      <c r="S13" s="42" t="n">
        <f aca="false">IFERROR((LEN(S$6)-LEN(SUBSTITUTE(S$6,$B13,"")))/LEN($B13),0)</f>
        <v>0</v>
      </c>
      <c r="T13" s="42" t="n">
        <f aca="false">IFERROR((LEN(T$6)-LEN(SUBSTITUTE(T$6,$B13,"")))/LEN($B13),0)</f>
        <v>0</v>
      </c>
      <c r="U13" s="42" t="n">
        <f aca="false">IFERROR((LEN(U$6)-LEN(SUBSTITUTE(U$6,$B13,"")))/LEN($B13),0)</f>
        <v>0</v>
      </c>
      <c r="V13" s="42" t="n">
        <f aca="false">IFERROR((LEN(V$6)-LEN(SUBSTITUTE(V$6,$B13,"")))/LEN($B13),0)</f>
        <v>0</v>
      </c>
    </row>
    <row r="14" customFormat="false" ht="13.5" hidden="false" customHeight="true" outlineLevel="0" collapsed="false">
      <c r="B14" s="39" t="s">
        <v>470</v>
      </c>
      <c r="C14" s="40" t="s">
        <v>471</v>
      </c>
      <c r="D14" s="41" t="n">
        <f aca="false">IFERROR((LEN($D$5)-LEN(SUBSTITUTE($D$5,$B14,"")))/LEN($B14),0)</f>
        <v>1</v>
      </c>
      <c r="E14" s="42" t="n">
        <f aca="false">IFERROR((LEN(E$6)-LEN(SUBSTITUTE(E$6,$B14,"")))/LEN($B14),0)</f>
        <v>0</v>
      </c>
      <c r="F14" s="42" t="n">
        <f aca="false">IFERROR((LEN(F$6)-LEN(SUBSTITUTE(F$6,$B14,"")))/LEN($B14),0)</f>
        <v>0</v>
      </c>
      <c r="G14" s="42" t="n">
        <f aca="false">IFERROR((LEN(G$6)-LEN(SUBSTITUTE(G$6,$B14,"")))/LEN($B14),0)</f>
        <v>0</v>
      </c>
      <c r="H14" s="42" t="n">
        <f aca="false">IFERROR((LEN(H$6)-LEN(SUBSTITUTE(H$6,$B14,"")))/LEN($B14),0)</f>
        <v>0</v>
      </c>
      <c r="I14" s="42" t="n">
        <f aca="false">IFERROR((LEN(I$6)-LEN(SUBSTITUTE(I$6,$B14,"")))/LEN($B14),0)</f>
        <v>0</v>
      </c>
      <c r="J14" s="42" t="n">
        <f aca="false">IFERROR((LEN(J$6)-LEN(SUBSTITUTE(J$6,$B14,"")))/LEN($B14),0)</f>
        <v>0</v>
      </c>
      <c r="K14" s="42" t="n">
        <f aca="false">IFERROR((LEN(K$6)-LEN(SUBSTITUTE(K$6,$B14,"")))/LEN($B14),0)</f>
        <v>2</v>
      </c>
      <c r="L14" s="42" t="n">
        <f aca="false">IFERROR((LEN(L$6)-LEN(SUBSTITUTE(L$6,$B14,"")))/LEN($B14),0)</f>
        <v>3</v>
      </c>
      <c r="M14" s="42" t="n">
        <f aca="false">IFERROR((LEN(M$6)-LEN(SUBSTITUTE(M$6,$B14,"")))/LEN($B14),0)</f>
        <v>0</v>
      </c>
      <c r="N14" s="42" t="n">
        <f aca="false">IFERROR((LEN(N$6)-LEN(SUBSTITUTE(N$6,$B14,"")))/LEN($B14),0)</f>
        <v>0</v>
      </c>
      <c r="O14" s="42" t="n">
        <f aca="false">IFERROR((LEN(O$6)-LEN(SUBSTITUTE(O$6,$B14,"")))/LEN($B14),0)</f>
        <v>0</v>
      </c>
      <c r="P14" s="42" t="n">
        <f aca="false">IFERROR((LEN(P$6)-LEN(SUBSTITUTE(P$6,$B14,"")))/LEN($B14),0)</f>
        <v>0</v>
      </c>
      <c r="Q14" s="42" t="n">
        <f aca="false">IFERROR((LEN(Q$6)-LEN(SUBSTITUTE(Q$6,$B14,"")))/LEN($B14),0)</f>
        <v>0</v>
      </c>
      <c r="R14" s="42" t="n">
        <f aca="false">IFERROR((LEN(R$6)-LEN(SUBSTITUTE(R$6,$B14,"")))/LEN($B14),0)</f>
        <v>0</v>
      </c>
      <c r="S14" s="42" t="n">
        <f aca="false">IFERROR((LEN(S$6)-LEN(SUBSTITUTE(S$6,$B14,"")))/LEN($B14),0)</f>
        <v>0</v>
      </c>
      <c r="T14" s="42" t="n">
        <f aca="false">IFERROR((LEN(T$6)-LEN(SUBSTITUTE(T$6,$B14,"")))/LEN($B14),0)</f>
        <v>0</v>
      </c>
      <c r="U14" s="42" t="n">
        <f aca="false">IFERROR((LEN(U$6)-LEN(SUBSTITUTE(U$6,$B14,"")))/LEN($B14),0)</f>
        <v>0</v>
      </c>
      <c r="V14" s="42" t="n">
        <f aca="false">IFERROR((LEN(V$6)-LEN(SUBSTITUTE(V$6,$B14,"")))/LEN($B14),0)</f>
        <v>0</v>
      </c>
    </row>
    <row r="15" customFormat="false" ht="13.5" hidden="false" customHeight="true" outlineLevel="0" collapsed="false">
      <c r="B15" s="39" t="s">
        <v>472</v>
      </c>
      <c r="C15" s="40" t="s">
        <v>471</v>
      </c>
      <c r="D15" s="41" t="n">
        <f aca="false">IFERROR((LEN($D$5)-LEN(SUBSTITUTE($D$5,$B15,"")))/LEN($B15),0)</f>
        <v>0</v>
      </c>
      <c r="E15" s="42" t="n">
        <f aca="false">IFERROR((LEN(E$6)-LEN(SUBSTITUTE(E$6,$B15,"")))/LEN($B15),0)</f>
        <v>0</v>
      </c>
      <c r="F15" s="42" t="n">
        <f aca="false">IFERROR((LEN(F$6)-LEN(SUBSTITUTE(F$6,$B15,"")))/LEN($B15),0)</f>
        <v>0</v>
      </c>
      <c r="G15" s="42" t="n">
        <f aca="false">IFERROR((LEN(G$6)-LEN(SUBSTITUTE(G$6,$B15,"")))/LEN($B15),0)</f>
        <v>0</v>
      </c>
      <c r="H15" s="42" t="n">
        <f aca="false">IFERROR((LEN(H$6)-LEN(SUBSTITUTE(H$6,$B15,"")))/LEN($B15),0)</f>
        <v>0</v>
      </c>
      <c r="I15" s="42" t="n">
        <f aca="false">IFERROR((LEN(I$6)-LEN(SUBSTITUTE(I$6,$B15,"")))/LEN($B15),0)</f>
        <v>0</v>
      </c>
      <c r="J15" s="42" t="n">
        <f aca="false">IFERROR((LEN(J$6)-LEN(SUBSTITUTE(J$6,$B15,"")))/LEN($B15),0)</f>
        <v>0</v>
      </c>
      <c r="K15" s="42" t="n">
        <f aca="false">IFERROR((LEN(K$6)-LEN(SUBSTITUTE(K$6,$B15,"")))/LEN($B15),0)</f>
        <v>1</v>
      </c>
      <c r="L15" s="42" t="n">
        <f aca="false">IFERROR((LEN(L$6)-LEN(SUBSTITUTE(L$6,$B15,"")))/LEN($B15),0)</f>
        <v>0</v>
      </c>
      <c r="M15" s="42" t="n">
        <f aca="false">IFERROR((LEN(M$6)-LEN(SUBSTITUTE(M$6,$B15,"")))/LEN($B15),0)</f>
        <v>0</v>
      </c>
      <c r="N15" s="42" t="n">
        <f aca="false">IFERROR((LEN(N$6)-LEN(SUBSTITUTE(N$6,$B15,"")))/LEN($B15),0)</f>
        <v>0</v>
      </c>
      <c r="O15" s="42" t="n">
        <f aca="false">IFERROR((LEN(O$6)-LEN(SUBSTITUTE(O$6,$B15,"")))/LEN($B15),0)</f>
        <v>0</v>
      </c>
      <c r="P15" s="42" t="n">
        <f aca="false">IFERROR((LEN(P$6)-LEN(SUBSTITUTE(P$6,$B15,"")))/LEN($B15),0)</f>
        <v>0</v>
      </c>
      <c r="Q15" s="42" t="n">
        <f aca="false">IFERROR((LEN(Q$6)-LEN(SUBSTITUTE(Q$6,$B15,"")))/LEN($B15),0)</f>
        <v>0</v>
      </c>
      <c r="R15" s="42" t="n">
        <f aca="false">IFERROR((LEN(R$6)-LEN(SUBSTITUTE(R$6,$B15,"")))/LEN($B15),0)</f>
        <v>0</v>
      </c>
      <c r="S15" s="42" t="n">
        <f aca="false">IFERROR((LEN(S$6)-LEN(SUBSTITUTE(S$6,$B15,"")))/LEN($B15),0)</f>
        <v>0</v>
      </c>
      <c r="T15" s="42" t="n">
        <f aca="false">IFERROR((LEN(T$6)-LEN(SUBSTITUTE(T$6,$B15,"")))/LEN($B15),0)</f>
        <v>0</v>
      </c>
      <c r="U15" s="42" t="n">
        <f aca="false">IFERROR((LEN(U$6)-LEN(SUBSTITUTE(U$6,$B15,"")))/LEN($B15),0)</f>
        <v>0</v>
      </c>
      <c r="V15" s="42" t="n">
        <f aca="false">IFERROR((LEN(V$6)-LEN(SUBSTITUTE(V$6,$B15,"")))/LEN($B15),0)</f>
        <v>0</v>
      </c>
    </row>
    <row r="16" customFormat="false" ht="13.5" hidden="false" customHeight="true" outlineLevel="0" collapsed="false">
      <c r="B16" s="39" t="s">
        <v>473</v>
      </c>
      <c r="C16" s="40" t="s">
        <v>471</v>
      </c>
      <c r="D16" s="41" t="n">
        <f aca="false">IFERROR((LEN($D$5)-LEN(SUBSTITUTE($D$5,$B16,"")))/LEN($B16),0)</f>
        <v>0</v>
      </c>
      <c r="E16" s="42" t="n">
        <f aca="false">IFERROR((LEN(E$6)-LEN(SUBSTITUTE(E$6,$B16,"")))/LEN($B16),0)</f>
        <v>0</v>
      </c>
      <c r="F16" s="42" t="n">
        <f aca="false">IFERROR((LEN(F$6)-LEN(SUBSTITUTE(F$6,$B16,"")))/LEN($B16),0)</f>
        <v>0</v>
      </c>
      <c r="G16" s="42" t="n">
        <f aca="false">IFERROR((LEN(G$6)-LEN(SUBSTITUTE(G$6,$B16,"")))/LEN($B16),0)</f>
        <v>0</v>
      </c>
      <c r="H16" s="42" t="n">
        <f aca="false">IFERROR((LEN(H$6)-LEN(SUBSTITUTE(H$6,$B16,"")))/LEN($B16),0)</f>
        <v>0</v>
      </c>
      <c r="I16" s="42" t="n">
        <f aca="false">IFERROR((LEN(I$6)-LEN(SUBSTITUTE(I$6,$B16,"")))/LEN($B16),0)</f>
        <v>0</v>
      </c>
      <c r="J16" s="42" t="n">
        <f aca="false">IFERROR((LEN(J$6)-LEN(SUBSTITUTE(J$6,$B16,"")))/LEN($B16),0)</f>
        <v>0</v>
      </c>
      <c r="K16" s="42" t="n">
        <f aca="false">IFERROR((LEN(K$6)-LEN(SUBSTITUTE(K$6,$B16,"")))/LEN($B16),0)</f>
        <v>2</v>
      </c>
      <c r="L16" s="42" t="n">
        <f aca="false">IFERROR((LEN(L$6)-LEN(SUBSTITUTE(L$6,$B16,"")))/LEN($B16),0)</f>
        <v>1</v>
      </c>
      <c r="M16" s="42" t="n">
        <f aca="false">IFERROR((LEN(M$6)-LEN(SUBSTITUTE(M$6,$B16,"")))/LEN($B16),0)</f>
        <v>0</v>
      </c>
      <c r="N16" s="42" t="n">
        <f aca="false">IFERROR((LEN(N$6)-LEN(SUBSTITUTE(N$6,$B16,"")))/LEN($B16),0)</f>
        <v>0</v>
      </c>
      <c r="O16" s="42" t="n">
        <f aca="false">IFERROR((LEN(O$6)-LEN(SUBSTITUTE(O$6,$B16,"")))/LEN($B16),0)</f>
        <v>0</v>
      </c>
      <c r="P16" s="42" t="n">
        <f aca="false">IFERROR((LEN(P$6)-LEN(SUBSTITUTE(P$6,$B16,"")))/LEN($B16),0)</f>
        <v>0</v>
      </c>
      <c r="Q16" s="42" t="n">
        <f aca="false">IFERROR((LEN(Q$6)-LEN(SUBSTITUTE(Q$6,$B16,"")))/LEN($B16),0)</f>
        <v>0</v>
      </c>
      <c r="R16" s="42" t="n">
        <f aca="false">IFERROR((LEN(R$6)-LEN(SUBSTITUTE(R$6,$B16,"")))/LEN($B16),0)</f>
        <v>0</v>
      </c>
      <c r="S16" s="42" t="n">
        <f aca="false">IFERROR((LEN(S$6)-LEN(SUBSTITUTE(S$6,$B16,"")))/LEN($B16),0)</f>
        <v>0</v>
      </c>
      <c r="T16" s="42" t="n">
        <f aca="false">IFERROR((LEN(T$6)-LEN(SUBSTITUTE(T$6,$B16,"")))/LEN($B16),0)</f>
        <v>0</v>
      </c>
      <c r="U16" s="42" t="n">
        <f aca="false">IFERROR((LEN(U$6)-LEN(SUBSTITUTE(U$6,$B16,"")))/LEN($B16),0)</f>
        <v>0</v>
      </c>
      <c r="V16" s="42" t="n">
        <f aca="false">IFERROR((LEN(V$6)-LEN(SUBSTITUTE(V$6,$B16,"")))/LEN($B16),0)</f>
        <v>0</v>
      </c>
    </row>
    <row r="17" customFormat="false" ht="13.5" hidden="false" customHeight="true" outlineLevel="0" collapsed="false">
      <c r="B17" s="39" t="s">
        <v>474</v>
      </c>
      <c r="C17" s="40" t="s">
        <v>471</v>
      </c>
      <c r="D17" s="41" t="n">
        <f aca="false">IFERROR((LEN($D$5)-LEN(SUBSTITUTE($D$5,$B17,"")))/LEN($B17),0)</f>
        <v>0</v>
      </c>
      <c r="E17" s="42" t="n">
        <f aca="false">IFERROR((LEN(E$6)-LEN(SUBSTITUTE(E$6,$B17,"")))/LEN($B17),0)</f>
        <v>0</v>
      </c>
      <c r="F17" s="42" t="n">
        <f aca="false">IFERROR((LEN(F$6)-LEN(SUBSTITUTE(F$6,$B17,"")))/LEN($B17),0)</f>
        <v>0</v>
      </c>
      <c r="G17" s="42" t="n">
        <f aca="false">IFERROR((LEN(G$6)-LEN(SUBSTITUTE(G$6,$B17,"")))/LEN($B17),0)</f>
        <v>0</v>
      </c>
      <c r="H17" s="42" t="n">
        <f aca="false">IFERROR((LEN(H$6)-LEN(SUBSTITUTE(H$6,$B17,"")))/LEN($B17),0)</f>
        <v>0</v>
      </c>
      <c r="I17" s="42" t="n">
        <f aca="false">IFERROR((LEN(I$6)-LEN(SUBSTITUTE(I$6,$B17,"")))/LEN($B17),0)</f>
        <v>0</v>
      </c>
      <c r="J17" s="42" t="n">
        <f aca="false">IFERROR((LEN(J$6)-LEN(SUBSTITUTE(J$6,$B17,"")))/LEN($B17),0)</f>
        <v>0</v>
      </c>
      <c r="K17" s="42" t="n">
        <f aca="false">IFERROR((LEN(K$6)-LEN(SUBSTITUTE(K$6,$B17,"")))/LEN($B17),0)</f>
        <v>1</v>
      </c>
      <c r="L17" s="42" t="n">
        <f aca="false">IFERROR((LEN(L$6)-LEN(SUBSTITUTE(L$6,$B17,"")))/LEN($B17),0)</f>
        <v>1</v>
      </c>
      <c r="M17" s="42" t="n">
        <f aca="false">IFERROR((LEN(M$6)-LEN(SUBSTITUTE(M$6,$B17,"")))/LEN($B17),0)</f>
        <v>0</v>
      </c>
      <c r="N17" s="42" t="n">
        <f aca="false">IFERROR((LEN(N$6)-LEN(SUBSTITUTE(N$6,$B17,"")))/LEN($B17),0)</f>
        <v>0</v>
      </c>
      <c r="O17" s="42" t="n">
        <f aca="false">IFERROR((LEN(O$6)-LEN(SUBSTITUTE(O$6,$B17,"")))/LEN($B17),0)</f>
        <v>0</v>
      </c>
      <c r="P17" s="42" t="n">
        <f aca="false">IFERROR((LEN(P$6)-LEN(SUBSTITUTE(P$6,$B17,"")))/LEN($B17),0)</f>
        <v>0</v>
      </c>
      <c r="Q17" s="42" t="n">
        <f aca="false">IFERROR((LEN(Q$6)-LEN(SUBSTITUTE(Q$6,$B17,"")))/LEN($B17),0)</f>
        <v>0</v>
      </c>
      <c r="R17" s="42" t="n">
        <f aca="false">IFERROR((LEN(R$6)-LEN(SUBSTITUTE(R$6,$B17,"")))/LEN($B17),0)</f>
        <v>0</v>
      </c>
      <c r="S17" s="42" t="n">
        <f aca="false">IFERROR((LEN(S$6)-LEN(SUBSTITUTE(S$6,$B17,"")))/LEN($B17),0)</f>
        <v>0</v>
      </c>
      <c r="T17" s="42" t="n">
        <f aca="false">IFERROR((LEN(T$6)-LEN(SUBSTITUTE(T$6,$B17,"")))/LEN($B17),0)</f>
        <v>0</v>
      </c>
      <c r="U17" s="42" t="n">
        <f aca="false">IFERROR((LEN(U$6)-LEN(SUBSTITUTE(U$6,$B17,"")))/LEN($B17),0)</f>
        <v>0</v>
      </c>
      <c r="V17" s="42" t="n">
        <f aca="false">IFERROR((LEN(V$6)-LEN(SUBSTITUTE(V$6,$B17,"")))/LEN($B17),0)</f>
        <v>0</v>
      </c>
    </row>
    <row r="18" customFormat="false" ht="13.5" hidden="false" customHeight="true" outlineLevel="0" collapsed="false">
      <c r="B18" s="39" t="s">
        <v>475</v>
      </c>
      <c r="C18" s="40" t="s">
        <v>471</v>
      </c>
      <c r="D18" s="41" t="n">
        <f aca="false">IFERROR((LEN($D$5)-LEN(SUBSTITUTE($D$5,$B18,"")))/LEN($B18),0)</f>
        <v>0</v>
      </c>
      <c r="E18" s="42" t="n">
        <f aca="false">IFERROR((LEN(E$6)-LEN(SUBSTITUTE(E$6,$B18,"")))/LEN($B18),0)</f>
        <v>0</v>
      </c>
      <c r="F18" s="42" t="n">
        <f aca="false">IFERROR((LEN(F$6)-LEN(SUBSTITUTE(F$6,$B18,"")))/LEN($B18),0)</f>
        <v>0</v>
      </c>
      <c r="G18" s="42" t="n">
        <f aca="false">IFERROR((LEN(G$6)-LEN(SUBSTITUTE(G$6,$B18,"")))/LEN($B18),0)</f>
        <v>0</v>
      </c>
      <c r="H18" s="42" t="n">
        <f aca="false">IFERROR((LEN(H$6)-LEN(SUBSTITUTE(H$6,$B18,"")))/LEN($B18),0)</f>
        <v>0</v>
      </c>
      <c r="I18" s="42" t="n">
        <f aca="false">IFERROR((LEN(I$6)-LEN(SUBSTITUTE(I$6,$B18,"")))/LEN($B18),0)</f>
        <v>1</v>
      </c>
      <c r="J18" s="42" t="n">
        <f aca="false">IFERROR((LEN(J$6)-LEN(SUBSTITUTE(J$6,$B18,"")))/LEN($B18),0)</f>
        <v>1</v>
      </c>
      <c r="K18" s="42" t="n">
        <f aca="false">IFERROR((LEN(K$6)-LEN(SUBSTITUTE(K$6,$B18,"")))/LEN($B18),0)</f>
        <v>1</v>
      </c>
      <c r="L18" s="42" t="n">
        <f aca="false">IFERROR((LEN(L$6)-LEN(SUBSTITUTE(L$6,$B18,"")))/LEN($B18),0)</f>
        <v>0</v>
      </c>
      <c r="M18" s="42" t="n">
        <f aca="false">IFERROR((LEN(M$6)-LEN(SUBSTITUTE(M$6,$B18,"")))/LEN($B18),0)</f>
        <v>0</v>
      </c>
      <c r="N18" s="42" t="n">
        <f aca="false">IFERROR((LEN(N$6)-LEN(SUBSTITUTE(N$6,$B18,"")))/LEN($B18),0)</f>
        <v>0</v>
      </c>
      <c r="O18" s="42" t="n">
        <f aca="false">IFERROR((LEN(O$6)-LEN(SUBSTITUTE(O$6,$B18,"")))/LEN($B18),0)</f>
        <v>0</v>
      </c>
      <c r="P18" s="42" t="n">
        <f aca="false">IFERROR((LEN(P$6)-LEN(SUBSTITUTE(P$6,$B18,"")))/LEN($B18),0)</f>
        <v>0</v>
      </c>
      <c r="Q18" s="42" t="n">
        <f aca="false">IFERROR((LEN(Q$6)-LEN(SUBSTITUTE(Q$6,$B18,"")))/LEN($B18),0)</f>
        <v>0</v>
      </c>
      <c r="R18" s="42" t="n">
        <f aca="false">IFERROR((LEN(R$6)-LEN(SUBSTITUTE(R$6,$B18,"")))/LEN($B18),0)</f>
        <v>0</v>
      </c>
      <c r="S18" s="42" t="n">
        <f aca="false">IFERROR((LEN(S$6)-LEN(SUBSTITUTE(S$6,$B18,"")))/LEN($B18),0)</f>
        <v>0</v>
      </c>
      <c r="T18" s="42" t="n">
        <f aca="false">IFERROR((LEN(T$6)-LEN(SUBSTITUTE(T$6,$B18,"")))/LEN($B18),0)</f>
        <v>0</v>
      </c>
      <c r="U18" s="42" t="n">
        <f aca="false">IFERROR((LEN(U$6)-LEN(SUBSTITUTE(U$6,$B18,"")))/LEN($B18),0)</f>
        <v>0</v>
      </c>
      <c r="V18" s="42" t="n">
        <f aca="false">IFERROR((LEN(V$6)-LEN(SUBSTITUTE(V$6,$B18,"")))/LEN($B18),0)</f>
        <v>0</v>
      </c>
    </row>
    <row r="19" customFormat="false" ht="13.5" hidden="false" customHeight="true" outlineLevel="0" collapsed="false">
      <c r="B19" s="39" t="s">
        <v>476</v>
      </c>
      <c r="C19" s="40" t="s">
        <v>471</v>
      </c>
      <c r="D19" s="41" t="n">
        <f aca="false">IFERROR((LEN($D$5)-LEN(SUBSTITUTE($D$5,$B19,"")))/LEN($B19),0)</f>
        <v>0</v>
      </c>
      <c r="E19" s="42" t="n">
        <f aca="false">IFERROR((LEN(E$6)-LEN(SUBSTITUTE(E$6,$B19,"")))/LEN($B19),0)</f>
        <v>0</v>
      </c>
      <c r="F19" s="42" t="n">
        <f aca="false">IFERROR((LEN(F$6)-LEN(SUBSTITUTE(F$6,$B19,"")))/LEN($B19),0)</f>
        <v>0</v>
      </c>
      <c r="G19" s="42" t="n">
        <f aca="false">IFERROR((LEN(G$6)-LEN(SUBSTITUTE(G$6,$B19,"")))/LEN($B19),0)</f>
        <v>0</v>
      </c>
      <c r="H19" s="42" t="n">
        <f aca="false">IFERROR((LEN(H$6)-LEN(SUBSTITUTE(H$6,$B19,"")))/LEN($B19),0)</f>
        <v>0</v>
      </c>
      <c r="I19" s="42" t="n">
        <f aca="false">IFERROR((LEN(I$6)-LEN(SUBSTITUTE(I$6,$B19,"")))/LEN($B19),0)</f>
        <v>0</v>
      </c>
      <c r="J19" s="42" t="n">
        <f aca="false">IFERROR((LEN(J$6)-LEN(SUBSTITUTE(J$6,$B19,"")))/LEN($B19),0)</f>
        <v>3</v>
      </c>
      <c r="K19" s="42" t="n">
        <f aca="false">IFERROR((LEN(K$6)-LEN(SUBSTITUTE(K$6,$B19,"")))/LEN($B19),0)</f>
        <v>0</v>
      </c>
      <c r="L19" s="42" t="n">
        <f aca="false">IFERROR((LEN(L$6)-LEN(SUBSTITUTE(L$6,$B19,"")))/LEN($B19),0)</f>
        <v>0</v>
      </c>
      <c r="M19" s="42" t="n">
        <f aca="false">IFERROR((LEN(M$6)-LEN(SUBSTITUTE(M$6,$B19,"")))/LEN($B19),0)</f>
        <v>0</v>
      </c>
      <c r="N19" s="42" t="n">
        <f aca="false">IFERROR((LEN(N$6)-LEN(SUBSTITUTE(N$6,$B19,"")))/LEN($B19),0)</f>
        <v>0</v>
      </c>
      <c r="O19" s="42" t="n">
        <f aca="false">IFERROR((LEN(O$6)-LEN(SUBSTITUTE(O$6,$B19,"")))/LEN($B19),0)</f>
        <v>0</v>
      </c>
      <c r="P19" s="42" t="n">
        <f aca="false">IFERROR((LEN(P$6)-LEN(SUBSTITUTE(P$6,$B19,"")))/LEN($B19),0)</f>
        <v>0</v>
      </c>
      <c r="Q19" s="42" t="n">
        <f aca="false">IFERROR((LEN(Q$6)-LEN(SUBSTITUTE(Q$6,$B19,"")))/LEN($B19),0)</f>
        <v>0</v>
      </c>
      <c r="R19" s="42" t="n">
        <f aca="false">IFERROR((LEN(R$6)-LEN(SUBSTITUTE(R$6,$B19,"")))/LEN($B19),0)</f>
        <v>0</v>
      </c>
      <c r="S19" s="42" t="n">
        <f aca="false">IFERROR((LEN(S$6)-LEN(SUBSTITUTE(S$6,$B19,"")))/LEN($B19),0)</f>
        <v>0</v>
      </c>
      <c r="T19" s="42" t="n">
        <f aca="false">IFERROR((LEN(T$6)-LEN(SUBSTITUTE(T$6,$B19,"")))/LEN($B19),0)</f>
        <v>0</v>
      </c>
      <c r="U19" s="42" t="n">
        <f aca="false">IFERROR((LEN(U$6)-LEN(SUBSTITUTE(U$6,$B19,"")))/LEN($B19),0)</f>
        <v>0</v>
      </c>
      <c r="V19" s="42" t="n">
        <f aca="false">IFERROR((LEN(V$6)-LEN(SUBSTITUTE(V$6,$B19,"")))/LEN($B19),0)</f>
        <v>0</v>
      </c>
    </row>
    <row r="20" customFormat="false" ht="13.5" hidden="false" customHeight="true" outlineLevel="0" collapsed="false">
      <c r="B20" s="39" t="s">
        <v>477</v>
      </c>
      <c r="C20" s="40" t="s">
        <v>471</v>
      </c>
      <c r="D20" s="41" t="n">
        <f aca="false">IFERROR((LEN($D$5)-LEN(SUBSTITUTE($D$5,$B20,"")))/LEN($B20),0)</f>
        <v>0</v>
      </c>
      <c r="E20" s="42" t="n">
        <f aca="false">IFERROR((LEN(E$6)-LEN(SUBSTITUTE(E$6,$B20,"")))/LEN($B20),0)</f>
        <v>0</v>
      </c>
      <c r="F20" s="42" t="n">
        <f aca="false">IFERROR((LEN(F$6)-LEN(SUBSTITUTE(F$6,$B20,"")))/LEN($B20),0)</f>
        <v>0</v>
      </c>
      <c r="G20" s="42" t="n">
        <f aca="false">IFERROR((LEN(G$6)-LEN(SUBSTITUTE(G$6,$B20,"")))/LEN($B20),0)</f>
        <v>0</v>
      </c>
      <c r="H20" s="42" t="n">
        <f aca="false">IFERROR((LEN(H$6)-LEN(SUBSTITUTE(H$6,$B20,"")))/LEN($B20),0)</f>
        <v>0</v>
      </c>
      <c r="I20" s="42" t="n">
        <f aca="false">IFERROR((LEN(I$6)-LEN(SUBSTITUTE(I$6,$B20,"")))/LEN($B20),0)</f>
        <v>0</v>
      </c>
      <c r="J20" s="42" t="n">
        <f aca="false">IFERROR((LEN(J$6)-LEN(SUBSTITUTE(J$6,$B20,"")))/LEN($B20),0)</f>
        <v>0</v>
      </c>
      <c r="K20" s="42" t="n">
        <f aca="false">IFERROR((LEN(K$6)-LEN(SUBSTITUTE(K$6,$B20,"")))/LEN($B20),0)</f>
        <v>0</v>
      </c>
      <c r="L20" s="42" t="n">
        <f aca="false">IFERROR((LEN(L$6)-LEN(SUBSTITUTE(L$6,$B20,"")))/LEN($B20),0)</f>
        <v>1</v>
      </c>
      <c r="M20" s="42" t="n">
        <f aca="false">IFERROR((LEN(M$6)-LEN(SUBSTITUTE(M$6,$B20,"")))/LEN($B20),0)</f>
        <v>0</v>
      </c>
      <c r="N20" s="42" t="n">
        <f aca="false">IFERROR((LEN(N$6)-LEN(SUBSTITUTE(N$6,$B20,"")))/LEN($B20),0)</f>
        <v>2</v>
      </c>
      <c r="O20" s="42" t="n">
        <f aca="false">IFERROR((LEN(O$6)-LEN(SUBSTITUTE(O$6,$B20,"")))/LEN($B20),0)</f>
        <v>1</v>
      </c>
      <c r="P20" s="42" t="n">
        <f aca="false">IFERROR((LEN(P$6)-LEN(SUBSTITUTE(P$6,$B20,"")))/LEN($B20),0)</f>
        <v>0</v>
      </c>
      <c r="Q20" s="42" t="n">
        <f aca="false">IFERROR((LEN(Q$6)-LEN(SUBSTITUTE(Q$6,$B20,"")))/LEN($B20),0)</f>
        <v>0</v>
      </c>
      <c r="R20" s="42" t="n">
        <f aca="false">IFERROR((LEN(R$6)-LEN(SUBSTITUTE(R$6,$B20,"")))/LEN($B20),0)</f>
        <v>0</v>
      </c>
      <c r="S20" s="42" t="n">
        <f aca="false">IFERROR((LEN(S$6)-LEN(SUBSTITUTE(S$6,$B20,"")))/LEN($B20),0)</f>
        <v>0</v>
      </c>
      <c r="T20" s="42" t="n">
        <f aca="false">IFERROR((LEN(T$6)-LEN(SUBSTITUTE(T$6,$B20,"")))/LEN($B20),0)</f>
        <v>0</v>
      </c>
      <c r="U20" s="42" t="n">
        <f aca="false">IFERROR((LEN(U$6)-LEN(SUBSTITUTE(U$6,$B20,"")))/LEN($B20),0)</f>
        <v>0</v>
      </c>
      <c r="V20" s="42" t="n">
        <f aca="false">IFERROR((LEN(V$6)-LEN(SUBSTITUTE(V$6,$B20,"")))/LEN($B20),0)</f>
        <v>0</v>
      </c>
    </row>
    <row r="21" customFormat="false" ht="13.5" hidden="false" customHeight="true" outlineLevel="0" collapsed="false">
      <c r="B21" s="39" t="s">
        <v>478</v>
      </c>
      <c r="C21" s="40" t="s">
        <v>471</v>
      </c>
      <c r="D21" s="41" t="n">
        <f aca="false">IFERROR((LEN($D$5)-LEN(SUBSTITUTE($D$5,$B21,"")))/LEN($B21),0)</f>
        <v>0</v>
      </c>
      <c r="E21" s="42" t="n">
        <f aca="false">IFERROR((LEN(E$6)-LEN(SUBSTITUTE(E$6,$B21,"")))/LEN($B21),0)</f>
        <v>0</v>
      </c>
      <c r="F21" s="42" t="n">
        <f aca="false">IFERROR((LEN(F$6)-LEN(SUBSTITUTE(F$6,$B21,"")))/LEN($B21),0)</f>
        <v>0</v>
      </c>
      <c r="G21" s="42" t="n">
        <f aca="false">IFERROR((LEN(G$6)-LEN(SUBSTITUTE(G$6,$B21,"")))/LEN($B21),0)</f>
        <v>0</v>
      </c>
      <c r="H21" s="42" t="n">
        <f aca="false">IFERROR((LEN(H$6)-LEN(SUBSTITUTE(H$6,$B21,"")))/LEN($B21),0)</f>
        <v>0</v>
      </c>
      <c r="I21" s="42" t="n">
        <f aca="false">IFERROR((LEN(I$6)-LEN(SUBSTITUTE(I$6,$B21,"")))/LEN($B21),0)</f>
        <v>0</v>
      </c>
      <c r="J21" s="42" t="n">
        <f aca="false">IFERROR((LEN(J$6)-LEN(SUBSTITUTE(J$6,$B21,"")))/LEN($B21),0)</f>
        <v>0</v>
      </c>
      <c r="K21" s="42" t="n">
        <f aca="false">IFERROR((LEN(K$6)-LEN(SUBSTITUTE(K$6,$B21,"")))/LEN($B21),0)</f>
        <v>1</v>
      </c>
      <c r="L21" s="42" t="n">
        <f aca="false">IFERROR((LEN(L$6)-LEN(SUBSTITUTE(L$6,$B21,"")))/LEN($B21),0)</f>
        <v>0</v>
      </c>
      <c r="M21" s="42" t="n">
        <f aca="false">IFERROR((LEN(M$6)-LEN(SUBSTITUTE(M$6,$B21,"")))/LEN($B21),0)</f>
        <v>0</v>
      </c>
      <c r="N21" s="42" t="n">
        <f aca="false">IFERROR((LEN(N$6)-LEN(SUBSTITUTE(N$6,$B21,"")))/LEN($B21),0)</f>
        <v>1</v>
      </c>
      <c r="O21" s="42" t="n">
        <f aca="false">IFERROR((LEN(O$6)-LEN(SUBSTITUTE(O$6,$B21,"")))/LEN($B21),0)</f>
        <v>2</v>
      </c>
      <c r="P21" s="42" t="n">
        <f aca="false">IFERROR((LEN(P$6)-LEN(SUBSTITUTE(P$6,$B21,"")))/LEN($B21),0)</f>
        <v>0</v>
      </c>
      <c r="Q21" s="42" t="n">
        <f aca="false">IFERROR((LEN(Q$6)-LEN(SUBSTITUTE(Q$6,$B21,"")))/LEN($B21),0)</f>
        <v>0</v>
      </c>
      <c r="R21" s="42" t="n">
        <f aca="false">IFERROR((LEN(R$6)-LEN(SUBSTITUTE(R$6,$B21,"")))/LEN($B21),0)</f>
        <v>0</v>
      </c>
      <c r="S21" s="42" t="n">
        <f aca="false">IFERROR((LEN(S$6)-LEN(SUBSTITUTE(S$6,$B21,"")))/LEN($B21),0)</f>
        <v>0</v>
      </c>
      <c r="T21" s="42" t="n">
        <f aca="false">IFERROR((LEN(T$6)-LEN(SUBSTITUTE(T$6,$B21,"")))/LEN($B21),0)</f>
        <v>0</v>
      </c>
      <c r="U21" s="42" t="n">
        <f aca="false">IFERROR((LEN(U$6)-LEN(SUBSTITUTE(U$6,$B21,"")))/LEN($B21),0)</f>
        <v>0</v>
      </c>
      <c r="V21" s="42" t="n">
        <f aca="false">IFERROR((LEN(V$6)-LEN(SUBSTITUTE(V$6,$B21,"")))/LEN($B21),0)</f>
        <v>0</v>
      </c>
    </row>
    <row r="22" customFormat="false" ht="13.5" hidden="false" customHeight="true" outlineLevel="0" collapsed="false">
      <c r="B22" s="39" t="s">
        <v>479</v>
      </c>
      <c r="C22" s="40" t="s">
        <v>471</v>
      </c>
      <c r="D22" s="41" t="n">
        <f aca="false">IFERROR((LEN($D$5)-LEN(SUBSTITUTE($D$5,$B22,"")))/LEN($B22),0)</f>
        <v>0</v>
      </c>
      <c r="E22" s="42" t="n">
        <f aca="false">IFERROR((LEN(E$6)-LEN(SUBSTITUTE(E$6,$B22,"")))/LEN($B22),0)</f>
        <v>0</v>
      </c>
      <c r="F22" s="42" t="n">
        <f aca="false">IFERROR((LEN(F$6)-LEN(SUBSTITUTE(F$6,$B22,"")))/LEN($B22),0)</f>
        <v>0</v>
      </c>
      <c r="G22" s="42" t="n">
        <f aca="false">IFERROR((LEN(G$6)-LEN(SUBSTITUTE(G$6,$B22,"")))/LEN($B22),0)</f>
        <v>0</v>
      </c>
      <c r="H22" s="42" t="n">
        <f aca="false">IFERROR((LEN(H$6)-LEN(SUBSTITUTE(H$6,$B22,"")))/LEN($B22),0)</f>
        <v>0</v>
      </c>
      <c r="I22" s="42" t="n">
        <f aca="false">IFERROR((LEN(I$6)-LEN(SUBSTITUTE(I$6,$B22,"")))/LEN($B22),0)</f>
        <v>0</v>
      </c>
      <c r="J22" s="42" t="n">
        <f aca="false">IFERROR((LEN(J$6)-LEN(SUBSTITUTE(J$6,$B22,"")))/LEN($B22),0)</f>
        <v>1</v>
      </c>
      <c r="K22" s="42" t="n">
        <f aca="false">IFERROR((LEN(K$6)-LEN(SUBSTITUTE(K$6,$B22,"")))/LEN($B22),0)</f>
        <v>1</v>
      </c>
      <c r="L22" s="42" t="n">
        <f aca="false">IFERROR((LEN(L$6)-LEN(SUBSTITUTE(L$6,$B22,"")))/LEN($B22),0)</f>
        <v>0</v>
      </c>
      <c r="M22" s="42" t="n">
        <f aca="false">IFERROR((LEN(M$6)-LEN(SUBSTITUTE(M$6,$B22,"")))/LEN($B22),0)</f>
        <v>0</v>
      </c>
      <c r="N22" s="42" t="n">
        <f aca="false">IFERROR((LEN(N$6)-LEN(SUBSTITUTE(N$6,$B22,"")))/LEN($B22),0)</f>
        <v>0</v>
      </c>
      <c r="O22" s="42" t="n">
        <f aca="false">IFERROR((LEN(O$6)-LEN(SUBSTITUTE(O$6,$B22,"")))/LEN($B22),0)</f>
        <v>1</v>
      </c>
      <c r="P22" s="42" t="n">
        <f aca="false">IFERROR((LEN(P$6)-LEN(SUBSTITUTE(P$6,$B22,"")))/LEN($B22),0)</f>
        <v>0</v>
      </c>
      <c r="Q22" s="42" t="n">
        <f aca="false">IFERROR((LEN(Q$6)-LEN(SUBSTITUTE(Q$6,$B22,"")))/LEN($B22),0)</f>
        <v>0</v>
      </c>
      <c r="R22" s="42" t="n">
        <f aca="false">IFERROR((LEN(R$6)-LEN(SUBSTITUTE(R$6,$B22,"")))/LEN($B22),0)</f>
        <v>0</v>
      </c>
      <c r="S22" s="42" t="n">
        <f aca="false">IFERROR((LEN(S$6)-LEN(SUBSTITUTE(S$6,$B22,"")))/LEN($B22),0)</f>
        <v>0</v>
      </c>
      <c r="T22" s="42" t="n">
        <f aca="false">IFERROR((LEN(T$6)-LEN(SUBSTITUTE(T$6,$B22,"")))/LEN($B22),0)</f>
        <v>0</v>
      </c>
      <c r="U22" s="42" t="n">
        <f aca="false">IFERROR((LEN(U$6)-LEN(SUBSTITUTE(U$6,$B22,"")))/LEN($B22),0)</f>
        <v>0</v>
      </c>
      <c r="V22" s="42" t="n">
        <f aca="false">IFERROR((LEN(V$6)-LEN(SUBSTITUTE(V$6,$B22,"")))/LEN($B22),0)</f>
        <v>0</v>
      </c>
    </row>
    <row r="23" customFormat="false" ht="13.5" hidden="false" customHeight="true" outlineLevel="0" collapsed="false">
      <c r="B23" s="39" t="s">
        <v>480</v>
      </c>
      <c r="C23" s="40" t="s">
        <v>471</v>
      </c>
      <c r="D23" s="41" t="n">
        <f aca="false">IFERROR((LEN($D$5)-LEN(SUBSTITUTE($D$5,$B23,"")))/LEN($B23),0)</f>
        <v>0</v>
      </c>
      <c r="E23" s="42" t="n">
        <f aca="false">IFERROR((LEN(E$6)-LEN(SUBSTITUTE(E$6,$B23,"")))/LEN($B23),0)</f>
        <v>0</v>
      </c>
      <c r="F23" s="42" t="n">
        <f aca="false">IFERROR((LEN(F$6)-LEN(SUBSTITUTE(F$6,$B23,"")))/LEN($B23),0)</f>
        <v>0</v>
      </c>
      <c r="G23" s="42" t="n">
        <f aca="false">IFERROR((LEN(G$6)-LEN(SUBSTITUTE(G$6,$B23,"")))/LEN($B23),0)</f>
        <v>1</v>
      </c>
      <c r="H23" s="42" t="n">
        <f aca="false">IFERROR((LEN(H$6)-LEN(SUBSTITUTE(H$6,$B23,"")))/LEN($B23),0)</f>
        <v>1</v>
      </c>
      <c r="I23" s="42" t="n">
        <f aca="false">IFERROR((LEN(I$6)-LEN(SUBSTITUTE(I$6,$B23,"")))/LEN($B23),0)</f>
        <v>0</v>
      </c>
      <c r="J23" s="42" t="n">
        <f aca="false">IFERROR((LEN(J$6)-LEN(SUBSTITUTE(J$6,$B23,"")))/LEN($B23),0)</f>
        <v>1</v>
      </c>
      <c r="K23" s="42" t="n">
        <f aca="false">IFERROR((LEN(K$6)-LEN(SUBSTITUTE(K$6,$B23,"")))/LEN($B23),0)</f>
        <v>1</v>
      </c>
      <c r="L23" s="42" t="n">
        <f aca="false">IFERROR((LEN(L$6)-LEN(SUBSTITUTE(L$6,$B23,"")))/LEN($B23),0)</f>
        <v>0</v>
      </c>
      <c r="M23" s="42" t="n">
        <f aca="false">IFERROR((LEN(M$6)-LEN(SUBSTITUTE(M$6,$B23,"")))/LEN($B23),0)</f>
        <v>0</v>
      </c>
      <c r="N23" s="42" t="n">
        <f aca="false">IFERROR((LEN(N$6)-LEN(SUBSTITUTE(N$6,$B23,"")))/LEN($B23),0)</f>
        <v>0</v>
      </c>
      <c r="O23" s="42" t="n">
        <f aca="false">IFERROR((LEN(O$6)-LEN(SUBSTITUTE(O$6,$B23,"")))/LEN($B23),0)</f>
        <v>0</v>
      </c>
      <c r="P23" s="42" t="n">
        <f aca="false">IFERROR((LEN(P$6)-LEN(SUBSTITUTE(P$6,$B23,"")))/LEN($B23),0)</f>
        <v>0</v>
      </c>
      <c r="Q23" s="42" t="n">
        <f aca="false">IFERROR((LEN(Q$6)-LEN(SUBSTITUTE(Q$6,$B23,"")))/LEN($B23),0)</f>
        <v>0</v>
      </c>
      <c r="R23" s="42" t="n">
        <f aca="false">IFERROR((LEN(R$6)-LEN(SUBSTITUTE(R$6,$B23,"")))/LEN($B23),0)</f>
        <v>0</v>
      </c>
      <c r="S23" s="42" t="n">
        <f aca="false">IFERROR((LEN(S$6)-LEN(SUBSTITUTE(S$6,$B23,"")))/LEN($B23),0)</f>
        <v>0</v>
      </c>
      <c r="T23" s="42" t="n">
        <f aca="false">IFERROR((LEN(T$6)-LEN(SUBSTITUTE(T$6,$B23,"")))/LEN($B23),0)</f>
        <v>0</v>
      </c>
      <c r="U23" s="42" t="n">
        <f aca="false">IFERROR((LEN(U$6)-LEN(SUBSTITUTE(U$6,$B23,"")))/LEN($B23),0)</f>
        <v>0</v>
      </c>
      <c r="V23" s="42" t="n">
        <f aca="false">IFERROR((LEN(V$6)-LEN(SUBSTITUTE(V$6,$B23,"")))/LEN($B23),0)</f>
        <v>0</v>
      </c>
    </row>
    <row r="24" customFormat="false" ht="13.5" hidden="false" customHeight="true" outlineLevel="0" collapsed="false">
      <c r="B24" s="39" t="s">
        <v>481</v>
      </c>
      <c r="C24" s="40" t="s">
        <v>471</v>
      </c>
      <c r="D24" s="41" t="n">
        <f aca="false">IFERROR((LEN($D$5)-LEN(SUBSTITUTE($D$5,$B24,"")))/LEN($B24),0)</f>
        <v>0</v>
      </c>
      <c r="E24" s="42" t="n">
        <f aca="false">IFERROR((LEN(E$6)-LEN(SUBSTITUTE(E$6,$B24,"")))/LEN($B24),0)</f>
        <v>0</v>
      </c>
      <c r="F24" s="42" t="n">
        <f aca="false">IFERROR((LEN(F$6)-LEN(SUBSTITUTE(F$6,$B24,"")))/LEN($B24),0)</f>
        <v>0</v>
      </c>
      <c r="G24" s="42" t="n">
        <f aca="false">IFERROR((LEN(G$6)-LEN(SUBSTITUTE(G$6,$B24,"")))/LEN($B24),0)</f>
        <v>0</v>
      </c>
      <c r="H24" s="42" t="n">
        <f aca="false">IFERROR((LEN(H$6)-LEN(SUBSTITUTE(H$6,$B24,"")))/LEN($B24),0)</f>
        <v>0</v>
      </c>
      <c r="I24" s="42" t="n">
        <f aca="false">IFERROR((LEN(I$6)-LEN(SUBSTITUTE(I$6,$B24,"")))/LEN($B24),0)</f>
        <v>1</v>
      </c>
      <c r="J24" s="42" t="n">
        <f aca="false">IFERROR((LEN(J$6)-LEN(SUBSTITUTE(J$6,$B24,"")))/LEN($B24),0)</f>
        <v>0</v>
      </c>
      <c r="K24" s="42" t="n">
        <f aca="false">IFERROR((LEN(K$6)-LEN(SUBSTITUTE(K$6,$B24,"")))/LEN($B24),0)</f>
        <v>0</v>
      </c>
      <c r="L24" s="42" t="n">
        <f aca="false">IFERROR((LEN(L$6)-LEN(SUBSTITUTE(L$6,$B24,"")))/LEN($B24),0)</f>
        <v>0</v>
      </c>
      <c r="M24" s="42" t="n">
        <f aca="false">IFERROR((LEN(M$6)-LEN(SUBSTITUTE(M$6,$B24,"")))/LEN($B24),0)</f>
        <v>0</v>
      </c>
      <c r="N24" s="42" t="n">
        <f aca="false">IFERROR((LEN(N$6)-LEN(SUBSTITUTE(N$6,$B24,"")))/LEN($B24),0)</f>
        <v>0</v>
      </c>
      <c r="O24" s="42" t="n">
        <f aca="false">IFERROR((LEN(O$6)-LEN(SUBSTITUTE(O$6,$B24,"")))/LEN($B24),0)</f>
        <v>1</v>
      </c>
      <c r="P24" s="42" t="n">
        <f aca="false">IFERROR((LEN(P$6)-LEN(SUBSTITUTE(P$6,$B24,"")))/LEN($B24),0)</f>
        <v>0</v>
      </c>
      <c r="Q24" s="42" t="n">
        <f aca="false">IFERROR((LEN(Q$6)-LEN(SUBSTITUTE(Q$6,$B24,"")))/LEN($B24),0)</f>
        <v>0</v>
      </c>
      <c r="R24" s="42" t="n">
        <f aca="false">IFERROR((LEN(R$6)-LEN(SUBSTITUTE(R$6,$B24,"")))/LEN($B24),0)</f>
        <v>0</v>
      </c>
      <c r="S24" s="42" t="n">
        <f aca="false">IFERROR((LEN(S$6)-LEN(SUBSTITUTE(S$6,$B24,"")))/LEN($B24),0)</f>
        <v>0</v>
      </c>
      <c r="T24" s="42" t="n">
        <f aca="false">IFERROR((LEN(T$6)-LEN(SUBSTITUTE(T$6,$B24,"")))/LEN($B24),0)</f>
        <v>0</v>
      </c>
      <c r="U24" s="42" t="n">
        <f aca="false">IFERROR((LEN(U$6)-LEN(SUBSTITUTE(U$6,$B24,"")))/LEN($B24),0)</f>
        <v>0</v>
      </c>
      <c r="V24" s="42" t="n">
        <f aca="false">IFERROR((LEN(V$6)-LEN(SUBSTITUTE(V$6,$B24,"")))/LEN($B24),0)</f>
        <v>0</v>
      </c>
    </row>
    <row r="25" customFormat="false" ht="13.5" hidden="false" customHeight="true" outlineLevel="0" collapsed="false">
      <c r="B25" s="39" t="s">
        <v>482</v>
      </c>
      <c r="C25" s="40" t="s">
        <v>483</v>
      </c>
      <c r="D25" s="41" t="n">
        <f aca="false">IFERROR((LEN($D$5)-LEN(SUBSTITUTE($D$5,$B25,"")))/LEN($B25),0)</f>
        <v>0</v>
      </c>
      <c r="E25" s="42" t="n">
        <f aca="false">IFERROR((LEN(E$6)-LEN(SUBSTITUTE(E$6,$B25,"")))/LEN($B25),0)</f>
        <v>0</v>
      </c>
      <c r="F25" s="42" t="n">
        <f aca="false">IFERROR((LEN(F$6)-LEN(SUBSTITUTE(F$6,$B25,"")))/LEN($B25),0)</f>
        <v>0</v>
      </c>
      <c r="G25" s="42" t="n">
        <f aca="false">IFERROR((LEN(G$6)-LEN(SUBSTITUTE(G$6,$B25,"")))/LEN($B25),0)</f>
        <v>0</v>
      </c>
      <c r="H25" s="42" t="n">
        <f aca="false">IFERROR((LEN(H$6)-LEN(SUBSTITUTE(H$6,$B25,"")))/LEN($B25),0)</f>
        <v>0</v>
      </c>
      <c r="I25" s="42" t="n">
        <f aca="false">IFERROR((LEN(I$6)-LEN(SUBSTITUTE(I$6,$B25,"")))/LEN($B25),0)</f>
        <v>0</v>
      </c>
      <c r="J25" s="42" t="n">
        <f aca="false">IFERROR((LEN(J$6)-LEN(SUBSTITUTE(J$6,$B25,"")))/LEN($B25),0)</f>
        <v>0</v>
      </c>
      <c r="K25" s="42" t="n">
        <f aca="false">IFERROR((LEN(K$6)-LEN(SUBSTITUTE(K$6,$B25,"")))/LEN($B25),0)</f>
        <v>0</v>
      </c>
      <c r="L25" s="42" t="n">
        <f aca="false">IFERROR((LEN(L$6)-LEN(SUBSTITUTE(L$6,$B25,"")))/LEN($B25),0)</f>
        <v>1</v>
      </c>
      <c r="M25" s="42" t="n">
        <f aca="false">IFERROR((LEN(M$6)-LEN(SUBSTITUTE(M$6,$B25,"")))/LEN($B25),0)</f>
        <v>2</v>
      </c>
      <c r="N25" s="42" t="n">
        <f aca="false">IFERROR((LEN(N$6)-LEN(SUBSTITUTE(N$6,$B25,"")))/LEN($B25),0)</f>
        <v>1</v>
      </c>
      <c r="O25" s="42" t="n">
        <f aca="false">IFERROR((LEN(O$6)-LEN(SUBSTITUTE(O$6,$B25,"")))/LEN($B25),0)</f>
        <v>0</v>
      </c>
      <c r="P25" s="42" t="n">
        <f aca="false">IFERROR((LEN(P$6)-LEN(SUBSTITUTE(P$6,$B25,"")))/LEN($B25),0)</f>
        <v>0</v>
      </c>
      <c r="Q25" s="42" t="n">
        <f aca="false">IFERROR((LEN(Q$6)-LEN(SUBSTITUTE(Q$6,$B25,"")))/LEN($B25),0)</f>
        <v>0</v>
      </c>
      <c r="R25" s="42" t="n">
        <f aca="false">IFERROR((LEN(R$6)-LEN(SUBSTITUTE(R$6,$B25,"")))/LEN($B25),0)</f>
        <v>0</v>
      </c>
      <c r="S25" s="42" t="n">
        <f aca="false">IFERROR((LEN(S$6)-LEN(SUBSTITUTE(S$6,$B25,"")))/LEN($B25),0)</f>
        <v>0</v>
      </c>
      <c r="T25" s="42" t="n">
        <f aca="false">IFERROR((LEN(T$6)-LEN(SUBSTITUTE(T$6,$B25,"")))/LEN($B25),0)</f>
        <v>1</v>
      </c>
      <c r="U25" s="42" t="n">
        <f aca="false">IFERROR((LEN(U$6)-LEN(SUBSTITUTE(U$6,$B25,"")))/LEN($B25),0)</f>
        <v>0</v>
      </c>
      <c r="V25" s="42" t="n">
        <f aca="false">IFERROR((LEN(V$6)-LEN(SUBSTITUTE(V$6,$B25,"")))/LEN($B25),0)</f>
        <v>0</v>
      </c>
    </row>
    <row r="26" customFormat="false" ht="13.5" hidden="false" customHeight="true" outlineLevel="0" collapsed="false">
      <c r="B26" s="39" t="s">
        <v>484</v>
      </c>
      <c r="C26" s="40" t="s">
        <v>483</v>
      </c>
      <c r="D26" s="41" t="n">
        <f aca="false">IFERROR((LEN($D$5)-LEN(SUBSTITUTE($D$5,$B26,"")))/LEN($B26),0)</f>
        <v>1</v>
      </c>
      <c r="E26" s="42" t="n">
        <f aca="false">IFERROR((LEN(E$6)-LEN(SUBSTITUTE(E$6,$B26,"")))/LEN($B26),0)</f>
        <v>0</v>
      </c>
      <c r="F26" s="42" t="n">
        <f aca="false">IFERROR((LEN(F$6)-LEN(SUBSTITUTE(F$6,$B26,"")))/LEN($B26),0)</f>
        <v>0</v>
      </c>
      <c r="G26" s="42" t="n">
        <f aca="false">IFERROR((LEN(G$6)-LEN(SUBSTITUTE(G$6,$B26,"")))/LEN($B26),0)</f>
        <v>0</v>
      </c>
      <c r="H26" s="42" t="n">
        <f aca="false">IFERROR((LEN(H$6)-LEN(SUBSTITUTE(H$6,$B26,"")))/LEN($B26),0)</f>
        <v>0</v>
      </c>
      <c r="I26" s="42" t="n">
        <f aca="false">IFERROR((LEN(I$6)-LEN(SUBSTITUTE(I$6,$B26,"")))/LEN($B26),0)</f>
        <v>0</v>
      </c>
      <c r="J26" s="42" t="n">
        <f aca="false">IFERROR((LEN(J$6)-LEN(SUBSTITUTE(J$6,$B26,"")))/LEN($B26),0)</f>
        <v>0</v>
      </c>
      <c r="K26" s="42" t="n">
        <f aca="false">IFERROR((LEN(K$6)-LEN(SUBSTITUTE(K$6,$B26,"")))/LEN($B26),0)</f>
        <v>0</v>
      </c>
      <c r="L26" s="42" t="n">
        <f aca="false">IFERROR((LEN(L$6)-LEN(SUBSTITUTE(L$6,$B26,"")))/LEN($B26),0)</f>
        <v>1</v>
      </c>
      <c r="M26" s="42" t="n">
        <f aca="false">IFERROR((LEN(M$6)-LEN(SUBSTITUTE(M$6,$B26,"")))/LEN($B26),0)</f>
        <v>1</v>
      </c>
      <c r="N26" s="42" t="n">
        <f aca="false">IFERROR((LEN(N$6)-LEN(SUBSTITUTE(N$6,$B26,"")))/LEN($B26),0)</f>
        <v>1</v>
      </c>
      <c r="O26" s="42" t="n">
        <f aca="false">IFERROR((LEN(O$6)-LEN(SUBSTITUTE(O$6,$B26,"")))/LEN($B26),0)</f>
        <v>1</v>
      </c>
      <c r="P26" s="42" t="n">
        <f aca="false">IFERROR((LEN(P$6)-LEN(SUBSTITUTE(P$6,$B26,"")))/LEN($B26),0)</f>
        <v>0</v>
      </c>
      <c r="Q26" s="42" t="n">
        <f aca="false">IFERROR((LEN(Q$6)-LEN(SUBSTITUTE(Q$6,$B26,"")))/LEN($B26),0)</f>
        <v>0</v>
      </c>
      <c r="R26" s="42" t="n">
        <f aca="false">IFERROR((LEN(R$6)-LEN(SUBSTITUTE(R$6,$B26,"")))/LEN($B26),0)</f>
        <v>0</v>
      </c>
      <c r="S26" s="42" t="n">
        <f aca="false">IFERROR((LEN(S$6)-LEN(SUBSTITUTE(S$6,$B26,"")))/LEN($B26),0)</f>
        <v>0</v>
      </c>
      <c r="T26" s="42" t="n">
        <f aca="false">IFERROR((LEN(T$6)-LEN(SUBSTITUTE(T$6,$B26,"")))/LEN($B26),0)</f>
        <v>0</v>
      </c>
      <c r="U26" s="42" t="n">
        <f aca="false">IFERROR((LEN(U$6)-LEN(SUBSTITUTE(U$6,$B26,"")))/LEN($B26),0)</f>
        <v>0</v>
      </c>
      <c r="V26" s="42" t="n">
        <f aca="false">IFERROR((LEN(V$6)-LEN(SUBSTITUTE(V$6,$B26,"")))/LEN($B26),0)</f>
        <v>0</v>
      </c>
    </row>
    <row r="27" customFormat="false" ht="13.5" hidden="false" customHeight="true" outlineLevel="0" collapsed="false">
      <c r="B27" s="39" t="s">
        <v>485</v>
      </c>
      <c r="C27" s="40" t="s">
        <v>483</v>
      </c>
      <c r="D27" s="41" t="n">
        <f aca="false">IFERROR((LEN($D$5)-LEN(SUBSTITUTE($D$5,$B27,"")))/LEN($B27),0)</f>
        <v>1</v>
      </c>
      <c r="E27" s="42" t="n">
        <f aca="false">IFERROR((LEN(E$6)-LEN(SUBSTITUTE(E$6,$B27,"")))/LEN($B27),0)</f>
        <v>0</v>
      </c>
      <c r="F27" s="42" t="n">
        <f aca="false">IFERROR((LEN(F$6)-LEN(SUBSTITUTE(F$6,$B27,"")))/LEN($B27),0)</f>
        <v>0</v>
      </c>
      <c r="G27" s="42" t="n">
        <f aca="false">IFERROR((LEN(G$6)-LEN(SUBSTITUTE(G$6,$B27,"")))/LEN($B27),0)</f>
        <v>0</v>
      </c>
      <c r="H27" s="42" t="n">
        <f aca="false">IFERROR((LEN(H$6)-LEN(SUBSTITUTE(H$6,$B27,"")))/LEN($B27),0)</f>
        <v>0</v>
      </c>
      <c r="I27" s="42" t="n">
        <f aca="false">IFERROR((LEN(I$6)-LEN(SUBSTITUTE(I$6,$B27,"")))/LEN($B27),0)</f>
        <v>0</v>
      </c>
      <c r="J27" s="42" t="n">
        <f aca="false">IFERROR((LEN(J$6)-LEN(SUBSTITUTE(J$6,$B27,"")))/LEN($B27),0)</f>
        <v>0</v>
      </c>
      <c r="K27" s="42" t="n">
        <f aca="false">IFERROR((LEN(K$6)-LEN(SUBSTITUTE(K$6,$B27,"")))/LEN($B27),0)</f>
        <v>0</v>
      </c>
      <c r="L27" s="42" t="n">
        <f aca="false">IFERROR((LEN(L$6)-LEN(SUBSTITUTE(L$6,$B27,"")))/LEN($B27),0)</f>
        <v>1</v>
      </c>
      <c r="M27" s="42" t="n">
        <f aca="false">IFERROR((LEN(M$6)-LEN(SUBSTITUTE(M$6,$B27,"")))/LEN($B27),0)</f>
        <v>0</v>
      </c>
      <c r="N27" s="42" t="n">
        <f aca="false">IFERROR((LEN(N$6)-LEN(SUBSTITUTE(N$6,$B27,"")))/LEN($B27),0)</f>
        <v>1</v>
      </c>
      <c r="O27" s="42" t="n">
        <f aca="false">IFERROR((LEN(O$6)-LEN(SUBSTITUTE(O$6,$B27,"")))/LEN($B27),0)</f>
        <v>1</v>
      </c>
      <c r="P27" s="42" t="n">
        <f aca="false">IFERROR((LEN(P$6)-LEN(SUBSTITUTE(P$6,$B27,"")))/LEN($B27),0)</f>
        <v>0</v>
      </c>
      <c r="Q27" s="42" t="n">
        <f aca="false">IFERROR((LEN(Q$6)-LEN(SUBSTITUTE(Q$6,$B27,"")))/LEN($B27),0)</f>
        <v>0</v>
      </c>
      <c r="R27" s="42" t="n">
        <f aca="false">IFERROR((LEN(R$6)-LEN(SUBSTITUTE(R$6,$B27,"")))/LEN($B27),0)</f>
        <v>0</v>
      </c>
      <c r="S27" s="42" t="n">
        <f aca="false">IFERROR((LEN(S$6)-LEN(SUBSTITUTE(S$6,$B27,"")))/LEN($B27),0)</f>
        <v>0</v>
      </c>
      <c r="T27" s="42" t="n">
        <f aca="false">IFERROR((LEN(T$6)-LEN(SUBSTITUTE(T$6,$B27,"")))/LEN($B27),0)</f>
        <v>0</v>
      </c>
      <c r="U27" s="42" t="n">
        <f aca="false">IFERROR((LEN(U$6)-LEN(SUBSTITUTE(U$6,$B27,"")))/LEN($B27),0)</f>
        <v>0</v>
      </c>
      <c r="V27" s="42" t="n">
        <f aca="false">IFERROR((LEN(V$6)-LEN(SUBSTITUTE(V$6,$B27,"")))/LEN($B27),0)</f>
        <v>0</v>
      </c>
    </row>
    <row r="28" customFormat="false" ht="13.5" hidden="false" customHeight="true" outlineLevel="0" collapsed="false">
      <c r="B28" s="39" t="s">
        <v>486</v>
      </c>
      <c r="C28" s="40" t="s">
        <v>483</v>
      </c>
      <c r="D28" s="41" t="n">
        <f aca="false">IFERROR((LEN($D$5)-LEN(SUBSTITUTE($D$5,$B28,"")))/LEN($B28),0)</f>
        <v>0</v>
      </c>
      <c r="E28" s="42" t="n">
        <f aca="false">IFERROR((LEN(E$6)-LEN(SUBSTITUTE(E$6,$B28,"")))/LEN($B28),0)</f>
        <v>0</v>
      </c>
      <c r="F28" s="42" t="n">
        <f aca="false">IFERROR((LEN(F$6)-LEN(SUBSTITUTE(F$6,$B28,"")))/LEN($B28),0)</f>
        <v>0</v>
      </c>
      <c r="G28" s="42" t="n">
        <f aca="false">IFERROR((LEN(G$6)-LEN(SUBSTITUTE(G$6,$B28,"")))/LEN($B28),0)</f>
        <v>0</v>
      </c>
      <c r="H28" s="42" t="n">
        <f aca="false">IFERROR((LEN(H$6)-LEN(SUBSTITUTE(H$6,$B28,"")))/LEN($B28),0)</f>
        <v>0</v>
      </c>
      <c r="I28" s="42" t="n">
        <f aca="false">IFERROR((LEN(I$6)-LEN(SUBSTITUTE(I$6,$B28,"")))/LEN($B28),0)</f>
        <v>0</v>
      </c>
      <c r="J28" s="42" t="n">
        <f aca="false">IFERROR((LEN(J$6)-LEN(SUBSTITUTE(J$6,$B28,"")))/LEN($B28),0)</f>
        <v>0</v>
      </c>
      <c r="K28" s="42" t="n">
        <f aca="false">IFERROR((LEN(K$6)-LEN(SUBSTITUTE(K$6,$B28,"")))/LEN($B28),0)</f>
        <v>0</v>
      </c>
      <c r="L28" s="42" t="n">
        <f aca="false">IFERROR((LEN(L$6)-LEN(SUBSTITUTE(L$6,$B28,"")))/LEN($B28),0)</f>
        <v>0</v>
      </c>
      <c r="M28" s="42" t="n">
        <f aca="false">IFERROR((LEN(M$6)-LEN(SUBSTITUTE(M$6,$B28,"")))/LEN($B28),0)</f>
        <v>1</v>
      </c>
      <c r="N28" s="42" t="n">
        <f aca="false">IFERROR((LEN(N$6)-LEN(SUBSTITUTE(N$6,$B28,"")))/LEN($B28),0)</f>
        <v>0</v>
      </c>
      <c r="O28" s="42" t="n">
        <f aca="false">IFERROR((LEN(O$6)-LEN(SUBSTITUTE(O$6,$B28,"")))/LEN($B28),0)</f>
        <v>0</v>
      </c>
      <c r="P28" s="42" t="n">
        <f aca="false">IFERROR((LEN(P$6)-LEN(SUBSTITUTE(P$6,$B28,"")))/LEN($B28),0)</f>
        <v>0</v>
      </c>
      <c r="Q28" s="42" t="n">
        <f aca="false">IFERROR((LEN(Q$6)-LEN(SUBSTITUTE(Q$6,$B28,"")))/LEN($B28),0)</f>
        <v>0</v>
      </c>
      <c r="R28" s="42" t="n">
        <f aca="false">IFERROR((LEN(R$6)-LEN(SUBSTITUTE(R$6,$B28,"")))/LEN($B28),0)</f>
        <v>0</v>
      </c>
      <c r="S28" s="42" t="n">
        <f aca="false">IFERROR((LEN(S$6)-LEN(SUBSTITUTE(S$6,$B28,"")))/LEN($B28),0)</f>
        <v>0</v>
      </c>
      <c r="T28" s="42" t="n">
        <f aca="false">IFERROR((LEN(T$6)-LEN(SUBSTITUTE(T$6,$B28,"")))/LEN($B28),0)</f>
        <v>0</v>
      </c>
      <c r="U28" s="42" t="n">
        <f aca="false">IFERROR((LEN(U$6)-LEN(SUBSTITUTE(U$6,$B28,"")))/LEN($B28),0)</f>
        <v>0</v>
      </c>
      <c r="V28" s="42" t="n">
        <f aca="false">IFERROR((LEN(V$6)-LEN(SUBSTITUTE(V$6,$B28,"")))/LEN($B28),0)</f>
        <v>0</v>
      </c>
    </row>
    <row r="29" customFormat="false" ht="13.5" hidden="false" customHeight="true" outlineLevel="0" collapsed="false">
      <c r="B29" s="39" t="s">
        <v>487</v>
      </c>
      <c r="C29" s="40" t="s">
        <v>483</v>
      </c>
      <c r="D29" s="41" t="n">
        <f aca="false">IFERROR((LEN($D$5)-LEN(SUBSTITUTE($D$5,$B29,"")))/LEN($B29),0)</f>
        <v>0</v>
      </c>
      <c r="E29" s="42" t="n">
        <f aca="false">IFERROR((LEN(E$6)-LEN(SUBSTITUTE(E$6,$B29,"")))/LEN($B29),0)</f>
        <v>0</v>
      </c>
      <c r="F29" s="42" t="n">
        <f aca="false">IFERROR((LEN(F$6)-LEN(SUBSTITUTE(F$6,$B29,"")))/LEN($B29),0)</f>
        <v>0</v>
      </c>
      <c r="G29" s="42" t="n">
        <f aca="false">IFERROR((LEN(G$6)-LEN(SUBSTITUTE(G$6,$B29,"")))/LEN($B29),0)</f>
        <v>0</v>
      </c>
      <c r="H29" s="42" t="n">
        <f aca="false">IFERROR((LEN(H$6)-LEN(SUBSTITUTE(H$6,$B29,"")))/LEN($B29),0)</f>
        <v>0</v>
      </c>
      <c r="I29" s="42" t="n">
        <f aca="false">IFERROR((LEN(I$6)-LEN(SUBSTITUTE(I$6,$B29,"")))/LEN($B29),0)</f>
        <v>0</v>
      </c>
      <c r="J29" s="42" t="n">
        <f aca="false">IFERROR((LEN(J$6)-LEN(SUBSTITUTE(J$6,$B29,"")))/LEN($B29),0)</f>
        <v>0</v>
      </c>
      <c r="K29" s="42" t="n">
        <f aca="false">IFERROR((LEN(K$6)-LEN(SUBSTITUTE(K$6,$B29,"")))/LEN($B29),0)</f>
        <v>0</v>
      </c>
      <c r="L29" s="42" t="n">
        <f aca="false">IFERROR((LEN(L$6)-LEN(SUBSTITUTE(L$6,$B29,"")))/LEN($B29),0)</f>
        <v>0</v>
      </c>
      <c r="M29" s="42" t="n">
        <f aca="false">IFERROR((LEN(M$6)-LEN(SUBSTITUTE(M$6,$B29,"")))/LEN($B29),0)</f>
        <v>0</v>
      </c>
      <c r="N29" s="42" t="n">
        <f aca="false">IFERROR((LEN(N$6)-LEN(SUBSTITUTE(N$6,$B29,"")))/LEN($B29),0)</f>
        <v>0</v>
      </c>
      <c r="O29" s="42" t="n">
        <f aca="false">IFERROR((LEN(O$6)-LEN(SUBSTITUTE(O$6,$B29,"")))/LEN($B29),0)</f>
        <v>0</v>
      </c>
      <c r="P29" s="42" t="n">
        <f aca="false">IFERROR((LEN(P$6)-LEN(SUBSTITUTE(P$6,$B29,"")))/LEN($B29),0)</f>
        <v>0</v>
      </c>
      <c r="Q29" s="42" t="n">
        <f aca="false">IFERROR((LEN(Q$6)-LEN(SUBSTITUTE(Q$6,$B29,"")))/LEN($B29),0)</f>
        <v>0</v>
      </c>
      <c r="R29" s="42" t="n">
        <f aca="false">IFERROR((LEN(R$6)-LEN(SUBSTITUTE(R$6,$B29,"")))/LEN($B29),0)</f>
        <v>0</v>
      </c>
      <c r="S29" s="42" t="n">
        <f aca="false">IFERROR((LEN(S$6)-LEN(SUBSTITUTE(S$6,$B29,"")))/LEN($B29),0)</f>
        <v>0</v>
      </c>
      <c r="T29" s="42" t="n">
        <f aca="false">IFERROR((LEN(T$6)-LEN(SUBSTITUTE(T$6,$B29,"")))/LEN($B29),0)</f>
        <v>0</v>
      </c>
      <c r="U29" s="42" t="n">
        <f aca="false">IFERROR((LEN(U$6)-LEN(SUBSTITUTE(U$6,$B29,"")))/LEN($B29),0)</f>
        <v>0</v>
      </c>
      <c r="V29" s="42" t="n">
        <f aca="false">IFERROR((LEN(V$6)-LEN(SUBSTITUTE(V$6,$B29,"")))/LEN($B29),0)</f>
        <v>0</v>
      </c>
    </row>
    <row r="30" customFormat="false" ht="13.5" hidden="false" customHeight="true" outlineLevel="0" collapsed="false">
      <c r="B30" s="39" t="s">
        <v>488</v>
      </c>
      <c r="C30" s="40" t="s">
        <v>489</v>
      </c>
      <c r="D30" s="41" t="n">
        <f aca="false">IFERROR((LEN($D$5)-LEN(SUBSTITUTE($D$5,$B30,"")))/LEN($B30),0)</f>
        <v>1</v>
      </c>
      <c r="E30" s="42" t="n">
        <f aca="false">IFERROR((LEN(E$6)-LEN(SUBSTITUTE(E$6,$B30,"")))/LEN($B30),0)</f>
        <v>0</v>
      </c>
      <c r="F30" s="42" t="n">
        <f aca="false">IFERROR((LEN(F$6)-LEN(SUBSTITUTE(F$6,$B30,"")))/LEN($B30),0)</f>
        <v>0</v>
      </c>
      <c r="G30" s="42" t="n">
        <f aca="false">IFERROR((LEN(G$6)-LEN(SUBSTITUTE(G$6,$B30,"")))/LEN($B30),0)</f>
        <v>0</v>
      </c>
      <c r="H30" s="42" t="n">
        <f aca="false">IFERROR((LEN(H$6)-LEN(SUBSTITUTE(H$6,$B30,"")))/LEN($B30),0)</f>
        <v>0</v>
      </c>
      <c r="I30" s="42" t="n">
        <f aca="false">IFERROR((LEN(I$6)-LEN(SUBSTITUTE(I$6,$B30,"")))/LEN($B30),0)</f>
        <v>0</v>
      </c>
      <c r="J30" s="42" t="n">
        <f aca="false">IFERROR((LEN(J$6)-LEN(SUBSTITUTE(J$6,$B30,"")))/LEN($B30),0)</f>
        <v>0</v>
      </c>
      <c r="K30" s="42" t="n">
        <f aca="false">IFERROR((LEN(K$6)-LEN(SUBSTITUTE(K$6,$B30,"")))/LEN($B30),0)</f>
        <v>0</v>
      </c>
      <c r="L30" s="42" t="n">
        <f aca="false">IFERROR((LEN(L$6)-LEN(SUBSTITUTE(L$6,$B30,"")))/LEN($B30),0)</f>
        <v>0</v>
      </c>
      <c r="M30" s="42" t="n">
        <f aca="false">IFERROR((LEN(M$6)-LEN(SUBSTITUTE(M$6,$B30,"")))/LEN($B30),0)</f>
        <v>0</v>
      </c>
      <c r="N30" s="42" t="n">
        <f aca="false">IFERROR((LEN(N$6)-LEN(SUBSTITUTE(N$6,$B30,"")))/LEN($B30),0)</f>
        <v>1</v>
      </c>
      <c r="O30" s="42" t="n">
        <f aca="false">IFERROR((LEN(O$6)-LEN(SUBSTITUTE(O$6,$B30,"")))/LEN($B30),0)</f>
        <v>1</v>
      </c>
      <c r="P30" s="42" t="n">
        <f aca="false">IFERROR((LEN(P$6)-LEN(SUBSTITUTE(P$6,$B30,"")))/LEN($B30),0)</f>
        <v>0</v>
      </c>
      <c r="Q30" s="42" t="n">
        <f aca="false">IFERROR((LEN(Q$6)-LEN(SUBSTITUTE(Q$6,$B30,"")))/LEN($B30),0)</f>
        <v>0</v>
      </c>
      <c r="R30" s="42" t="n">
        <f aca="false">IFERROR((LEN(R$6)-LEN(SUBSTITUTE(R$6,$B30,"")))/LEN($B30),0)</f>
        <v>0</v>
      </c>
      <c r="S30" s="42" t="n">
        <f aca="false">IFERROR((LEN(S$6)-LEN(SUBSTITUTE(S$6,$B30,"")))/LEN($B30),0)</f>
        <v>0</v>
      </c>
      <c r="T30" s="42" t="n">
        <f aca="false">IFERROR((LEN(T$6)-LEN(SUBSTITUTE(T$6,$B30,"")))/LEN($B30),0)</f>
        <v>1</v>
      </c>
      <c r="U30" s="42" t="n">
        <f aca="false">IFERROR((LEN(U$6)-LEN(SUBSTITUTE(U$6,$B30,"")))/LEN($B30),0)</f>
        <v>0</v>
      </c>
      <c r="V30" s="42" t="n">
        <f aca="false">IFERROR((LEN(V$6)-LEN(SUBSTITUTE(V$6,$B30,"")))/LEN($B30),0)</f>
        <v>0</v>
      </c>
    </row>
    <row r="31" customFormat="false" ht="13.5" hidden="false" customHeight="true" outlineLevel="0" collapsed="false">
      <c r="B31" s="39" t="s">
        <v>490</v>
      </c>
      <c r="C31" s="40" t="s">
        <v>489</v>
      </c>
      <c r="D31" s="41" t="n">
        <f aca="false">IFERROR((LEN($D$5)-LEN(SUBSTITUTE($D$5,$B31,"")))/LEN($B31),0)</f>
        <v>0</v>
      </c>
      <c r="E31" s="42" t="n">
        <f aca="false">IFERROR((LEN(E$6)-LEN(SUBSTITUTE(E$6,$B31,"")))/LEN($B31),0)</f>
        <v>0</v>
      </c>
      <c r="F31" s="42" t="n">
        <f aca="false">IFERROR((LEN(F$6)-LEN(SUBSTITUTE(F$6,$B31,"")))/LEN($B31),0)</f>
        <v>0</v>
      </c>
      <c r="G31" s="42" t="n">
        <f aca="false">IFERROR((LEN(G$6)-LEN(SUBSTITUTE(G$6,$B31,"")))/LEN($B31),0)</f>
        <v>0</v>
      </c>
      <c r="H31" s="42" t="n">
        <f aca="false">IFERROR((LEN(H$6)-LEN(SUBSTITUTE(H$6,$B31,"")))/LEN($B31),0)</f>
        <v>0</v>
      </c>
      <c r="I31" s="42" t="n">
        <f aca="false">IFERROR((LEN(I$6)-LEN(SUBSTITUTE(I$6,$B31,"")))/LEN($B31),0)</f>
        <v>0</v>
      </c>
      <c r="J31" s="42" t="n">
        <f aca="false">IFERROR((LEN(J$6)-LEN(SUBSTITUTE(J$6,$B31,"")))/LEN($B31),0)</f>
        <v>0</v>
      </c>
      <c r="K31" s="42" t="n">
        <f aca="false">IFERROR((LEN(K$6)-LEN(SUBSTITUTE(K$6,$B31,"")))/LEN($B31),0)</f>
        <v>0</v>
      </c>
      <c r="L31" s="42" t="n">
        <f aca="false">IFERROR((LEN(L$6)-LEN(SUBSTITUTE(L$6,$B31,"")))/LEN($B31),0)</f>
        <v>0</v>
      </c>
      <c r="M31" s="42" t="n">
        <f aca="false">IFERROR((LEN(M$6)-LEN(SUBSTITUTE(M$6,$B31,"")))/LEN($B31),0)</f>
        <v>0</v>
      </c>
      <c r="N31" s="42" t="n">
        <f aca="false">IFERROR((LEN(N$6)-LEN(SUBSTITUTE(N$6,$B31,"")))/LEN($B31),0)</f>
        <v>1</v>
      </c>
      <c r="O31" s="42" t="n">
        <f aca="false">IFERROR((LEN(O$6)-LEN(SUBSTITUTE(O$6,$B31,"")))/LEN($B31),0)</f>
        <v>1</v>
      </c>
      <c r="P31" s="42" t="n">
        <f aca="false">IFERROR((LEN(P$6)-LEN(SUBSTITUTE(P$6,$B31,"")))/LEN($B31),0)</f>
        <v>0</v>
      </c>
      <c r="Q31" s="42" t="n">
        <f aca="false">IFERROR((LEN(Q$6)-LEN(SUBSTITUTE(Q$6,$B31,"")))/LEN($B31),0)</f>
        <v>0</v>
      </c>
      <c r="R31" s="42" t="n">
        <f aca="false">IFERROR((LEN(R$6)-LEN(SUBSTITUTE(R$6,$B31,"")))/LEN($B31),0)</f>
        <v>0</v>
      </c>
      <c r="S31" s="42" t="n">
        <f aca="false">IFERROR((LEN(S$6)-LEN(SUBSTITUTE(S$6,$B31,"")))/LEN($B31),0)</f>
        <v>0</v>
      </c>
      <c r="T31" s="42" t="n">
        <f aca="false">IFERROR((LEN(T$6)-LEN(SUBSTITUTE(T$6,$B31,"")))/LEN($B31),0)</f>
        <v>0</v>
      </c>
      <c r="U31" s="42" t="n">
        <f aca="false">IFERROR((LEN(U$6)-LEN(SUBSTITUTE(U$6,$B31,"")))/LEN($B31),0)</f>
        <v>0</v>
      </c>
      <c r="V31" s="42" t="n">
        <f aca="false">IFERROR((LEN(V$6)-LEN(SUBSTITUTE(V$6,$B31,"")))/LEN($B31),0)</f>
        <v>0</v>
      </c>
    </row>
    <row r="32" customFormat="false" ht="13.5" hidden="false" customHeight="true" outlineLevel="0" collapsed="false">
      <c r="B32" s="39" t="s">
        <v>491</v>
      </c>
      <c r="C32" s="40" t="s">
        <v>489</v>
      </c>
      <c r="D32" s="41" t="n">
        <f aca="false">IFERROR((LEN($D$5)-LEN(SUBSTITUTE($D$5,$B32,"")))/LEN($B32),0)</f>
        <v>0</v>
      </c>
      <c r="E32" s="42" t="n">
        <f aca="false">IFERROR((LEN(E$6)-LEN(SUBSTITUTE(E$6,$B32,"")))/LEN($B32),0)</f>
        <v>0</v>
      </c>
      <c r="F32" s="42" t="n">
        <f aca="false">IFERROR((LEN(F$6)-LEN(SUBSTITUTE(F$6,$B32,"")))/LEN($B32),0)</f>
        <v>0</v>
      </c>
      <c r="G32" s="42" t="n">
        <f aca="false">IFERROR((LEN(G$6)-LEN(SUBSTITUTE(G$6,$B32,"")))/LEN($B32),0)</f>
        <v>0</v>
      </c>
      <c r="H32" s="42" t="n">
        <f aca="false">IFERROR((LEN(H$6)-LEN(SUBSTITUTE(H$6,$B32,"")))/LEN($B32),0)</f>
        <v>0</v>
      </c>
      <c r="I32" s="42" t="n">
        <f aca="false">IFERROR((LEN(I$6)-LEN(SUBSTITUTE(I$6,$B32,"")))/LEN($B32),0)</f>
        <v>0</v>
      </c>
      <c r="J32" s="42" t="n">
        <f aca="false">IFERROR((LEN(J$6)-LEN(SUBSTITUTE(J$6,$B32,"")))/LEN($B32),0)</f>
        <v>0</v>
      </c>
      <c r="K32" s="42" t="n">
        <f aca="false">IFERROR((LEN(K$6)-LEN(SUBSTITUTE(K$6,$B32,"")))/LEN($B32),0)</f>
        <v>0</v>
      </c>
      <c r="L32" s="42" t="n">
        <f aca="false">IFERROR((LEN(L$6)-LEN(SUBSTITUTE(L$6,$B32,"")))/LEN($B32),0)</f>
        <v>0</v>
      </c>
      <c r="M32" s="42" t="n">
        <f aca="false">IFERROR((LEN(M$6)-LEN(SUBSTITUTE(M$6,$B32,"")))/LEN($B32),0)</f>
        <v>0</v>
      </c>
      <c r="N32" s="42" t="n">
        <f aca="false">IFERROR((LEN(N$6)-LEN(SUBSTITUTE(N$6,$B32,"")))/LEN($B32),0)</f>
        <v>1</v>
      </c>
      <c r="O32" s="42" t="n">
        <f aca="false">IFERROR((LEN(O$6)-LEN(SUBSTITUTE(O$6,$B32,"")))/LEN($B32),0)</f>
        <v>0</v>
      </c>
      <c r="P32" s="42" t="n">
        <f aca="false">IFERROR((LEN(P$6)-LEN(SUBSTITUTE(P$6,$B32,"")))/LEN($B32),0)</f>
        <v>0</v>
      </c>
      <c r="Q32" s="42" t="n">
        <f aca="false">IFERROR((LEN(Q$6)-LEN(SUBSTITUTE(Q$6,$B32,"")))/LEN($B32),0)</f>
        <v>0</v>
      </c>
      <c r="R32" s="42" t="n">
        <f aca="false">IFERROR((LEN(R$6)-LEN(SUBSTITUTE(R$6,$B32,"")))/LEN($B32),0)</f>
        <v>0</v>
      </c>
      <c r="S32" s="42" t="n">
        <f aca="false">IFERROR((LEN(S$6)-LEN(SUBSTITUTE(S$6,$B32,"")))/LEN($B32),0)</f>
        <v>0</v>
      </c>
      <c r="T32" s="42" t="n">
        <f aca="false">IFERROR((LEN(T$6)-LEN(SUBSTITUTE(T$6,$B32,"")))/LEN($B32),0)</f>
        <v>0</v>
      </c>
      <c r="U32" s="42" t="n">
        <f aca="false">IFERROR((LEN(U$6)-LEN(SUBSTITUTE(U$6,$B32,"")))/LEN($B32),0)</f>
        <v>0</v>
      </c>
      <c r="V32" s="42" t="n">
        <f aca="false">IFERROR((LEN(V$6)-LEN(SUBSTITUTE(V$6,$B32,"")))/LEN($B32),0)</f>
        <v>0</v>
      </c>
    </row>
    <row r="33" customFormat="false" ht="13.5" hidden="false" customHeight="true" outlineLevel="0" collapsed="false">
      <c r="B33" s="39" t="s">
        <v>492</v>
      </c>
      <c r="C33" s="40" t="s">
        <v>489</v>
      </c>
      <c r="D33" s="41" t="n">
        <f aca="false">IFERROR((LEN($D$5)-LEN(SUBSTITUTE($D$5,$B33,"")))/LEN($B33),0)</f>
        <v>0</v>
      </c>
      <c r="E33" s="42" t="n">
        <f aca="false">IFERROR((LEN(E$6)-LEN(SUBSTITUTE(E$6,$B33,"")))/LEN($B33),0)</f>
        <v>0</v>
      </c>
      <c r="F33" s="42" t="n">
        <f aca="false">IFERROR((LEN(F$6)-LEN(SUBSTITUTE(F$6,$B33,"")))/LEN($B33),0)</f>
        <v>0</v>
      </c>
      <c r="G33" s="42" t="n">
        <f aca="false">IFERROR((LEN(G$6)-LEN(SUBSTITUTE(G$6,$B33,"")))/LEN($B33),0)</f>
        <v>0</v>
      </c>
      <c r="H33" s="42" t="n">
        <f aca="false">IFERROR((LEN(H$6)-LEN(SUBSTITUTE(H$6,$B33,"")))/LEN($B33),0)</f>
        <v>0</v>
      </c>
      <c r="I33" s="42" t="n">
        <f aca="false">IFERROR((LEN(I$6)-LEN(SUBSTITUTE(I$6,$B33,"")))/LEN($B33),0)</f>
        <v>0</v>
      </c>
      <c r="J33" s="42" t="n">
        <f aca="false">IFERROR((LEN(J$6)-LEN(SUBSTITUTE(J$6,$B33,"")))/LEN($B33),0)</f>
        <v>0</v>
      </c>
      <c r="K33" s="42" t="n">
        <f aca="false">IFERROR((LEN(K$6)-LEN(SUBSTITUTE(K$6,$B33,"")))/LEN($B33),0)</f>
        <v>0</v>
      </c>
      <c r="L33" s="42" t="n">
        <f aca="false">IFERROR((LEN(L$6)-LEN(SUBSTITUTE(L$6,$B33,"")))/LEN($B33),0)</f>
        <v>0</v>
      </c>
      <c r="M33" s="42" t="n">
        <f aca="false">IFERROR((LEN(M$6)-LEN(SUBSTITUTE(M$6,$B33,"")))/LEN($B33),0)</f>
        <v>0</v>
      </c>
      <c r="N33" s="42" t="n">
        <f aca="false">IFERROR((LEN(N$6)-LEN(SUBSTITUTE(N$6,$B33,"")))/LEN($B33),0)</f>
        <v>1</v>
      </c>
      <c r="O33" s="42" t="n">
        <f aca="false">IFERROR((LEN(O$6)-LEN(SUBSTITUTE(O$6,$B33,"")))/LEN($B33),0)</f>
        <v>0</v>
      </c>
      <c r="P33" s="42" t="n">
        <f aca="false">IFERROR((LEN(P$6)-LEN(SUBSTITUTE(P$6,$B33,"")))/LEN($B33),0)</f>
        <v>0</v>
      </c>
      <c r="Q33" s="42" t="n">
        <f aca="false">IFERROR((LEN(Q$6)-LEN(SUBSTITUTE(Q$6,$B33,"")))/LEN($B33),0)</f>
        <v>0</v>
      </c>
      <c r="R33" s="42" t="n">
        <f aca="false">IFERROR((LEN(R$6)-LEN(SUBSTITUTE(R$6,$B33,"")))/LEN($B33),0)</f>
        <v>0</v>
      </c>
      <c r="S33" s="42" t="n">
        <f aca="false">IFERROR((LEN(S$6)-LEN(SUBSTITUTE(S$6,$B33,"")))/LEN($B33),0)</f>
        <v>0</v>
      </c>
      <c r="T33" s="42" t="n">
        <f aca="false">IFERROR((LEN(T$6)-LEN(SUBSTITUTE(T$6,$B33,"")))/LEN($B33),0)</f>
        <v>0</v>
      </c>
      <c r="U33" s="42" t="n">
        <f aca="false">IFERROR((LEN(U$6)-LEN(SUBSTITUTE(U$6,$B33,"")))/LEN($B33),0)</f>
        <v>0</v>
      </c>
      <c r="V33" s="42" t="n">
        <f aca="false">IFERROR((LEN(V$6)-LEN(SUBSTITUTE(V$6,$B33,"")))/LEN($B33),0)</f>
        <v>0</v>
      </c>
    </row>
    <row r="34" customFormat="false" ht="13.5" hidden="false" customHeight="true" outlineLevel="0" collapsed="false">
      <c r="B34" s="39" t="s">
        <v>493</v>
      </c>
      <c r="C34" s="40" t="s">
        <v>489</v>
      </c>
      <c r="D34" s="41" t="n">
        <f aca="false">IFERROR((LEN($D$5)-LEN(SUBSTITUTE($D$5,$B34,"")))/LEN($B34),0)</f>
        <v>0</v>
      </c>
      <c r="E34" s="42" t="n">
        <f aca="false">IFERROR((LEN(E$6)-LEN(SUBSTITUTE(E$6,$B34,"")))/LEN($B34),0)</f>
        <v>0</v>
      </c>
      <c r="F34" s="42" t="n">
        <f aca="false">IFERROR((LEN(F$6)-LEN(SUBSTITUTE(F$6,$B34,"")))/LEN($B34),0)</f>
        <v>0</v>
      </c>
      <c r="G34" s="42" t="n">
        <f aca="false">IFERROR((LEN(G$6)-LEN(SUBSTITUTE(G$6,$B34,"")))/LEN($B34),0)</f>
        <v>0</v>
      </c>
      <c r="H34" s="42" t="n">
        <f aca="false">IFERROR((LEN(H$6)-LEN(SUBSTITUTE(H$6,$B34,"")))/LEN($B34),0)</f>
        <v>0</v>
      </c>
      <c r="I34" s="42" t="n">
        <f aca="false">IFERROR((LEN(I$6)-LEN(SUBSTITUTE(I$6,$B34,"")))/LEN($B34),0)</f>
        <v>0</v>
      </c>
      <c r="J34" s="42" t="n">
        <f aca="false">IFERROR((LEN(J$6)-LEN(SUBSTITUTE(J$6,$B34,"")))/LEN($B34),0)</f>
        <v>0</v>
      </c>
      <c r="K34" s="42" t="n">
        <f aca="false">IFERROR((LEN(K$6)-LEN(SUBSTITUTE(K$6,$B34,"")))/LEN($B34),0)</f>
        <v>0</v>
      </c>
      <c r="L34" s="42" t="n">
        <f aca="false">IFERROR((LEN(L$6)-LEN(SUBSTITUTE(L$6,$B34,"")))/LEN($B34),0)</f>
        <v>0</v>
      </c>
      <c r="M34" s="42" t="n">
        <f aca="false">IFERROR((LEN(M$6)-LEN(SUBSTITUTE(M$6,$B34,"")))/LEN($B34),0)</f>
        <v>0</v>
      </c>
      <c r="N34" s="42" t="n">
        <f aca="false">IFERROR((LEN(N$6)-LEN(SUBSTITUTE(N$6,$B34,"")))/LEN($B34),0)</f>
        <v>1</v>
      </c>
      <c r="O34" s="42" t="n">
        <f aca="false">IFERROR((LEN(O$6)-LEN(SUBSTITUTE(O$6,$B34,"")))/LEN($B34),0)</f>
        <v>0</v>
      </c>
      <c r="P34" s="42" t="n">
        <f aca="false">IFERROR((LEN(P$6)-LEN(SUBSTITUTE(P$6,$B34,"")))/LEN($B34),0)</f>
        <v>0</v>
      </c>
      <c r="Q34" s="42" t="n">
        <f aca="false">IFERROR((LEN(Q$6)-LEN(SUBSTITUTE(Q$6,$B34,"")))/LEN($B34),0)</f>
        <v>0</v>
      </c>
      <c r="R34" s="42" t="n">
        <f aca="false">IFERROR((LEN(R$6)-LEN(SUBSTITUTE(R$6,$B34,"")))/LEN($B34),0)</f>
        <v>0</v>
      </c>
      <c r="S34" s="42" t="n">
        <f aca="false">IFERROR((LEN(S$6)-LEN(SUBSTITUTE(S$6,$B34,"")))/LEN($B34),0)</f>
        <v>0</v>
      </c>
      <c r="T34" s="42" t="n">
        <f aca="false">IFERROR((LEN(T$6)-LEN(SUBSTITUTE(T$6,$B34,"")))/LEN($B34),0)</f>
        <v>0</v>
      </c>
      <c r="U34" s="42" t="n">
        <f aca="false">IFERROR((LEN(U$6)-LEN(SUBSTITUTE(U$6,$B34,"")))/LEN($B34),0)</f>
        <v>0</v>
      </c>
      <c r="V34" s="42" t="n">
        <f aca="false">IFERROR((LEN(V$6)-LEN(SUBSTITUTE(V$6,$B34,"")))/LEN($B34),0)</f>
        <v>0</v>
      </c>
    </row>
    <row r="35" customFormat="false" ht="13.5" hidden="false" customHeight="true" outlineLevel="0" collapsed="false">
      <c r="B35" s="39" t="s">
        <v>494</v>
      </c>
      <c r="C35" s="40" t="s">
        <v>489</v>
      </c>
      <c r="D35" s="41" t="n">
        <f aca="false">IFERROR((LEN($D$5)-LEN(SUBSTITUTE($D$5,$B35,"")))/LEN($B35),0)</f>
        <v>0</v>
      </c>
      <c r="E35" s="42" t="n">
        <f aca="false">IFERROR((LEN(E$6)-LEN(SUBSTITUTE(E$6,$B35,"")))/LEN($B35),0)</f>
        <v>0</v>
      </c>
      <c r="F35" s="42" t="n">
        <f aca="false">IFERROR((LEN(F$6)-LEN(SUBSTITUTE(F$6,$B35,"")))/LEN($B35),0)</f>
        <v>0</v>
      </c>
      <c r="G35" s="42" t="n">
        <f aca="false">IFERROR((LEN(G$6)-LEN(SUBSTITUTE(G$6,$B35,"")))/LEN($B35),0)</f>
        <v>0</v>
      </c>
      <c r="H35" s="42" t="n">
        <f aca="false">IFERROR((LEN(H$6)-LEN(SUBSTITUTE(H$6,$B35,"")))/LEN($B35),0)</f>
        <v>0</v>
      </c>
      <c r="I35" s="42" t="n">
        <f aca="false">IFERROR((LEN(I$6)-LEN(SUBSTITUTE(I$6,$B35,"")))/LEN($B35),0)</f>
        <v>0</v>
      </c>
      <c r="J35" s="42" t="n">
        <f aca="false">IFERROR((LEN(J$6)-LEN(SUBSTITUTE(J$6,$B35,"")))/LEN($B35),0)</f>
        <v>0</v>
      </c>
      <c r="K35" s="42" t="n">
        <f aca="false">IFERROR((LEN(K$6)-LEN(SUBSTITUTE(K$6,$B35,"")))/LEN($B35),0)</f>
        <v>0</v>
      </c>
      <c r="L35" s="42" t="n">
        <f aca="false">IFERROR((LEN(L$6)-LEN(SUBSTITUTE(L$6,$B35,"")))/LEN($B35),0)</f>
        <v>0</v>
      </c>
      <c r="M35" s="42" t="n">
        <f aca="false">IFERROR((LEN(M$6)-LEN(SUBSTITUTE(M$6,$B35,"")))/LEN($B35),0)</f>
        <v>0</v>
      </c>
      <c r="N35" s="42" t="n">
        <f aca="false">IFERROR((LEN(N$6)-LEN(SUBSTITUTE(N$6,$B35,"")))/LEN($B35),0)</f>
        <v>0</v>
      </c>
      <c r="O35" s="42" t="n">
        <f aca="false">IFERROR((LEN(O$6)-LEN(SUBSTITUTE(O$6,$B35,"")))/LEN($B35),0)</f>
        <v>0</v>
      </c>
      <c r="P35" s="42" t="n">
        <f aca="false">IFERROR((LEN(P$6)-LEN(SUBSTITUTE(P$6,$B35,"")))/LEN($B35),0)</f>
        <v>1</v>
      </c>
      <c r="Q35" s="42" t="n">
        <f aca="false">IFERROR((LEN(Q$6)-LEN(SUBSTITUTE(Q$6,$B35,"")))/LEN($B35),0)</f>
        <v>0</v>
      </c>
      <c r="R35" s="42" t="n">
        <f aca="false">IFERROR((LEN(R$6)-LEN(SUBSTITUTE(R$6,$B35,"")))/LEN($B35),0)</f>
        <v>0</v>
      </c>
      <c r="S35" s="42" t="n">
        <f aca="false">IFERROR((LEN(S$6)-LEN(SUBSTITUTE(S$6,$B35,"")))/LEN($B35),0)</f>
        <v>0</v>
      </c>
      <c r="T35" s="42" t="n">
        <f aca="false">IFERROR((LEN(T$6)-LEN(SUBSTITUTE(T$6,$B35,"")))/LEN($B35),0)</f>
        <v>1</v>
      </c>
      <c r="U35" s="42" t="n">
        <f aca="false">IFERROR((LEN(U$6)-LEN(SUBSTITUTE(U$6,$B35,"")))/LEN($B35),0)</f>
        <v>1</v>
      </c>
      <c r="V35" s="42" t="n">
        <f aca="false">IFERROR((LEN(V$6)-LEN(SUBSTITUTE(V$6,$B35,"")))/LEN($B35),0)</f>
        <v>0</v>
      </c>
    </row>
    <row r="36" customFormat="false" ht="13.5" hidden="false" customHeight="true" outlineLevel="0" collapsed="false">
      <c r="B36" s="39" t="s">
        <v>495</v>
      </c>
      <c r="C36" s="40" t="s">
        <v>489</v>
      </c>
      <c r="D36" s="41" t="n">
        <f aca="false">IFERROR((LEN($D$5)-LEN(SUBSTITUTE($D$5,$B36,"")))/LEN($B36),0)</f>
        <v>0</v>
      </c>
      <c r="E36" s="42" t="n">
        <f aca="false">IFERROR((LEN(E$6)-LEN(SUBSTITUTE(E$6,$B36,"")))/LEN($B36),0)</f>
        <v>0</v>
      </c>
      <c r="F36" s="42" t="n">
        <f aca="false">IFERROR((LEN(F$6)-LEN(SUBSTITUTE(F$6,$B36,"")))/LEN($B36),0)</f>
        <v>0</v>
      </c>
      <c r="G36" s="42" t="n">
        <f aca="false">IFERROR((LEN(G$6)-LEN(SUBSTITUTE(G$6,$B36,"")))/LEN($B36),0)</f>
        <v>0</v>
      </c>
      <c r="H36" s="42" t="n">
        <f aca="false">IFERROR((LEN(H$6)-LEN(SUBSTITUTE(H$6,$B36,"")))/LEN($B36),0)</f>
        <v>0</v>
      </c>
      <c r="I36" s="42" t="n">
        <f aca="false">IFERROR((LEN(I$6)-LEN(SUBSTITUTE(I$6,$B36,"")))/LEN($B36),0)</f>
        <v>0</v>
      </c>
      <c r="J36" s="42" t="n">
        <f aca="false">IFERROR((LEN(J$6)-LEN(SUBSTITUTE(J$6,$B36,"")))/LEN($B36),0)</f>
        <v>0</v>
      </c>
      <c r="K36" s="42" t="n">
        <f aca="false">IFERROR((LEN(K$6)-LEN(SUBSTITUTE(K$6,$B36,"")))/LEN($B36),0)</f>
        <v>0</v>
      </c>
      <c r="L36" s="42" t="n">
        <f aca="false">IFERROR((LEN(L$6)-LEN(SUBSTITUTE(L$6,$B36,"")))/LEN($B36),0)</f>
        <v>1</v>
      </c>
      <c r="M36" s="42" t="n">
        <f aca="false">IFERROR((LEN(M$6)-LEN(SUBSTITUTE(M$6,$B36,"")))/LEN($B36),0)</f>
        <v>0</v>
      </c>
      <c r="N36" s="42" t="n">
        <f aca="false">IFERROR((LEN(N$6)-LEN(SUBSTITUTE(N$6,$B36,"")))/LEN($B36),0)</f>
        <v>1</v>
      </c>
      <c r="O36" s="42" t="n">
        <f aca="false">IFERROR((LEN(O$6)-LEN(SUBSTITUTE(O$6,$B36,"")))/LEN($B36),0)</f>
        <v>2</v>
      </c>
      <c r="P36" s="42" t="n">
        <f aca="false">IFERROR((LEN(P$6)-LEN(SUBSTITUTE(P$6,$B36,"")))/LEN($B36),0)</f>
        <v>0</v>
      </c>
      <c r="Q36" s="42" t="n">
        <f aca="false">IFERROR((LEN(Q$6)-LEN(SUBSTITUTE(Q$6,$B36,"")))/LEN($B36),0)</f>
        <v>0</v>
      </c>
      <c r="R36" s="42" t="n">
        <f aca="false">IFERROR((LEN(R$6)-LEN(SUBSTITUTE(R$6,$B36,"")))/LEN($B36),0)</f>
        <v>0</v>
      </c>
      <c r="S36" s="42" t="n">
        <f aca="false">IFERROR((LEN(S$6)-LEN(SUBSTITUTE(S$6,$B36,"")))/LEN($B36),0)</f>
        <v>0</v>
      </c>
      <c r="T36" s="42" t="n">
        <f aca="false">IFERROR((LEN(T$6)-LEN(SUBSTITUTE(T$6,$B36,"")))/LEN($B36),0)</f>
        <v>0</v>
      </c>
      <c r="U36" s="42" t="n">
        <f aca="false">IFERROR((LEN(U$6)-LEN(SUBSTITUTE(U$6,$B36,"")))/LEN($B36),0)</f>
        <v>0</v>
      </c>
      <c r="V36" s="42" t="n">
        <f aca="false">IFERROR((LEN(V$6)-LEN(SUBSTITUTE(V$6,$B36,"")))/LEN($B36),0)</f>
        <v>0</v>
      </c>
    </row>
    <row r="37" customFormat="false" ht="13.5" hidden="false" customHeight="true" outlineLevel="0" collapsed="false">
      <c r="B37" s="39" t="s">
        <v>496</v>
      </c>
      <c r="C37" s="40" t="s">
        <v>489</v>
      </c>
      <c r="D37" s="41" t="n">
        <f aca="false">IFERROR((LEN($D$5)-LEN(SUBSTITUTE($D$5,$B37,"")))/LEN($B37),0)</f>
        <v>0</v>
      </c>
      <c r="E37" s="42" t="n">
        <f aca="false">IFERROR((LEN(E$6)-LEN(SUBSTITUTE(E$6,$B37,"")))/LEN($B37),0)</f>
        <v>0</v>
      </c>
      <c r="F37" s="42" t="n">
        <f aca="false">IFERROR((LEN(F$6)-LEN(SUBSTITUTE(F$6,$B37,"")))/LEN($B37),0)</f>
        <v>0</v>
      </c>
      <c r="G37" s="42" t="n">
        <f aca="false">IFERROR((LEN(G$6)-LEN(SUBSTITUTE(G$6,$B37,"")))/LEN($B37),0)</f>
        <v>0</v>
      </c>
      <c r="H37" s="42" t="n">
        <f aca="false">IFERROR((LEN(H$6)-LEN(SUBSTITUTE(H$6,$B37,"")))/LEN($B37),0)</f>
        <v>0</v>
      </c>
      <c r="I37" s="42" t="n">
        <f aca="false">IFERROR((LEN(I$6)-LEN(SUBSTITUTE(I$6,$B37,"")))/LEN($B37),0)</f>
        <v>0</v>
      </c>
      <c r="J37" s="42" t="n">
        <f aca="false">IFERROR((LEN(J$6)-LEN(SUBSTITUTE(J$6,$B37,"")))/LEN($B37),0)</f>
        <v>0</v>
      </c>
      <c r="K37" s="42" t="n">
        <f aca="false">IFERROR((LEN(K$6)-LEN(SUBSTITUTE(K$6,$B37,"")))/LEN($B37),0)</f>
        <v>0</v>
      </c>
      <c r="L37" s="42" t="n">
        <f aca="false">IFERROR((LEN(L$6)-LEN(SUBSTITUTE(L$6,$B37,"")))/LEN($B37),0)</f>
        <v>0</v>
      </c>
      <c r="M37" s="42" t="n">
        <f aca="false">IFERROR((LEN(M$6)-LEN(SUBSTITUTE(M$6,$B37,"")))/LEN($B37),0)</f>
        <v>0</v>
      </c>
      <c r="N37" s="42" t="n">
        <f aca="false">IFERROR((LEN(N$6)-LEN(SUBSTITUTE(N$6,$B37,"")))/LEN($B37),0)</f>
        <v>0</v>
      </c>
      <c r="O37" s="42" t="n">
        <f aca="false">IFERROR((LEN(O$6)-LEN(SUBSTITUTE(O$6,$B37,"")))/LEN($B37),0)</f>
        <v>0</v>
      </c>
      <c r="P37" s="42" t="n">
        <f aca="false">IFERROR((LEN(P$6)-LEN(SUBSTITUTE(P$6,$B37,"")))/LEN($B37),0)</f>
        <v>1</v>
      </c>
      <c r="Q37" s="42" t="n">
        <f aca="false">IFERROR((LEN(Q$6)-LEN(SUBSTITUTE(Q$6,$B37,"")))/LEN($B37),0)</f>
        <v>1</v>
      </c>
      <c r="R37" s="42" t="n">
        <f aca="false">IFERROR((LEN(R$6)-LEN(SUBSTITUTE(R$6,$B37,"")))/LEN($B37),0)</f>
        <v>0</v>
      </c>
      <c r="S37" s="42" t="n">
        <f aca="false">IFERROR((LEN(S$6)-LEN(SUBSTITUTE(S$6,$B37,"")))/LEN($B37),0)</f>
        <v>0</v>
      </c>
      <c r="T37" s="42" t="n">
        <f aca="false">IFERROR((LEN(T$6)-LEN(SUBSTITUTE(T$6,$B37,"")))/LEN($B37),0)</f>
        <v>1</v>
      </c>
      <c r="U37" s="42" t="n">
        <f aca="false">IFERROR((LEN(U$6)-LEN(SUBSTITUTE(U$6,$B37,"")))/LEN($B37),0)</f>
        <v>1</v>
      </c>
      <c r="V37" s="42" t="n">
        <f aca="false">IFERROR((LEN(V$6)-LEN(SUBSTITUTE(V$6,$B37,"")))/LEN($B37),0)</f>
        <v>0</v>
      </c>
    </row>
    <row r="38" customFormat="false" ht="13.5" hidden="false" customHeight="true" outlineLevel="0" collapsed="false">
      <c r="B38" s="39" t="s">
        <v>497</v>
      </c>
      <c r="C38" s="40" t="s">
        <v>489</v>
      </c>
      <c r="D38" s="41" t="n">
        <f aca="false">IFERROR((LEN($D$5)-LEN(SUBSTITUTE($D$5,$B38,"")))/LEN($B38),0)</f>
        <v>0</v>
      </c>
      <c r="E38" s="42" t="n">
        <f aca="false">IFERROR((LEN(E$6)-LEN(SUBSTITUTE(E$6,$B38,"")))/LEN($B38),0)</f>
        <v>0</v>
      </c>
      <c r="F38" s="42" t="n">
        <f aca="false">IFERROR((LEN(F$6)-LEN(SUBSTITUTE(F$6,$B38,"")))/LEN($B38),0)</f>
        <v>0</v>
      </c>
      <c r="G38" s="42" t="n">
        <f aca="false">IFERROR((LEN(G$6)-LEN(SUBSTITUTE(G$6,$B38,"")))/LEN($B38),0)</f>
        <v>0</v>
      </c>
      <c r="H38" s="42" t="n">
        <f aca="false">IFERROR((LEN(H$6)-LEN(SUBSTITUTE(H$6,$B38,"")))/LEN($B38),0)</f>
        <v>0</v>
      </c>
      <c r="I38" s="42" t="n">
        <f aca="false">IFERROR((LEN(I$6)-LEN(SUBSTITUTE(I$6,$B38,"")))/LEN($B38),0)</f>
        <v>0</v>
      </c>
      <c r="J38" s="42" t="n">
        <f aca="false">IFERROR((LEN(J$6)-LEN(SUBSTITUTE(J$6,$B38,"")))/LEN($B38),0)</f>
        <v>0</v>
      </c>
      <c r="K38" s="42" t="n">
        <f aca="false">IFERROR((LEN(K$6)-LEN(SUBSTITUTE(K$6,$B38,"")))/LEN($B38),0)</f>
        <v>0</v>
      </c>
      <c r="L38" s="42" t="n">
        <f aca="false">IFERROR((LEN(L$6)-LEN(SUBSTITUTE(L$6,$B38,"")))/LEN($B38),0)</f>
        <v>0</v>
      </c>
      <c r="M38" s="42" t="n">
        <f aca="false">IFERROR((LEN(M$6)-LEN(SUBSTITUTE(M$6,$B38,"")))/LEN($B38),0)</f>
        <v>0</v>
      </c>
      <c r="N38" s="42" t="n">
        <f aca="false">IFERROR((LEN(N$6)-LEN(SUBSTITUTE(N$6,$B38,"")))/LEN($B38),0)</f>
        <v>0</v>
      </c>
      <c r="O38" s="42" t="n">
        <f aca="false">IFERROR((LEN(O$6)-LEN(SUBSTITUTE(O$6,$B38,"")))/LEN($B38),0)</f>
        <v>0</v>
      </c>
      <c r="P38" s="42" t="n">
        <f aca="false">IFERROR((LEN(P$6)-LEN(SUBSTITUTE(P$6,$B38,"")))/LEN($B38),0)</f>
        <v>0</v>
      </c>
      <c r="Q38" s="42" t="n">
        <f aca="false">IFERROR((LEN(Q$6)-LEN(SUBSTITUTE(Q$6,$B38,"")))/LEN($B38),0)</f>
        <v>0</v>
      </c>
      <c r="R38" s="42" t="n">
        <f aca="false">IFERROR((LEN(R$6)-LEN(SUBSTITUTE(R$6,$B38,"")))/LEN($B38),0)</f>
        <v>0</v>
      </c>
      <c r="S38" s="42" t="n">
        <f aca="false">IFERROR((LEN(S$6)-LEN(SUBSTITUTE(S$6,$B38,"")))/LEN($B38),0)</f>
        <v>0</v>
      </c>
      <c r="T38" s="42" t="n">
        <f aca="false">IFERROR((LEN(T$6)-LEN(SUBSTITUTE(T$6,$B38,"")))/LEN($B38),0)</f>
        <v>1</v>
      </c>
      <c r="U38" s="42" t="n">
        <f aca="false">IFERROR((LEN(U$6)-LEN(SUBSTITUTE(U$6,$B38,"")))/LEN($B38),0)</f>
        <v>0</v>
      </c>
      <c r="V38" s="42" t="n">
        <f aca="false">IFERROR((LEN(V$6)-LEN(SUBSTITUTE(V$6,$B38,"")))/LEN($B38),0)</f>
        <v>0</v>
      </c>
    </row>
    <row r="39" customFormat="false" ht="13.5" hidden="false" customHeight="true" outlineLevel="0" collapsed="false">
      <c r="B39" s="39" t="s">
        <v>498</v>
      </c>
      <c r="C39" s="40" t="s">
        <v>489</v>
      </c>
      <c r="D39" s="41" t="n">
        <f aca="false">IFERROR((LEN($D$5)-LEN(SUBSTITUTE($D$5,$B39,"")))/LEN($B39),0)</f>
        <v>0</v>
      </c>
      <c r="E39" s="42" t="n">
        <f aca="false">IFERROR((LEN(E$6)-LEN(SUBSTITUTE(E$6,$B39,"")))/LEN($B39),0)</f>
        <v>0</v>
      </c>
      <c r="F39" s="42" t="n">
        <f aca="false">IFERROR((LEN(F$6)-LEN(SUBSTITUTE(F$6,$B39,"")))/LEN($B39),0)</f>
        <v>0</v>
      </c>
      <c r="G39" s="42" t="n">
        <f aca="false">IFERROR((LEN(G$6)-LEN(SUBSTITUTE(G$6,$B39,"")))/LEN($B39),0)</f>
        <v>0</v>
      </c>
      <c r="H39" s="42" t="n">
        <f aca="false">IFERROR((LEN(H$6)-LEN(SUBSTITUTE(H$6,$B39,"")))/LEN($B39),0)</f>
        <v>0</v>
      </c>
      <c r="I39" s="42" t="n">
        <f aca="false">IFERROR((LEN(I$6)-LEN(SUBSTITUTE(I$6,$B39,"")))/LEN($B39),0)</f>
        <v>0</v>
      </c>
      <c r="J39" s="42" t="n">
        <f aca="false">IFERROR((LEN(J$6)-LEN(SUBSTITUTE(J$6,$B39,"")))/LEN($B39),0)</f>
        <v>0</v>
      </c>
      <c r="K39" s="42" t="n">
        <f aca="false">IFERROR((LEN(K$6)-LEN(SUBSTITUTE(K$6,$B39,"")))/LEN($B39),0)</f>
        <v>0</v>
      </c>
      <c r="L39" s="42" t="n">
        <f aca="false">IFERROR((LEN(L$6)-LEN(SUBSTITUTE(L$6,$B39,"")))/LEN($B39),0)</f>
        <v>0</v>
      </c>
      <c r="M39" s="42" t="n">
        <f aca="false">IFERROR((LEN(M$6)-LEN(SUBSTITUTE(M$6,$B39,"")))/LEN($B39),0)</f>
        <v>0</v>
      </c>
      <c r="N39" s="42" t="n">
        <f aca="false">IFERROR((LEN(N$6)-LEN(SUBSTITUTE(N$6,$B39,"")))/LEN($B39),0)</f>
        <v>0</v>
      </c>
      <c r="O39" s="42" t="n">
        <f aca="false">IFERROR((LEN(O$6)-LEN(SUBSTITUTE(O$6,$B39,"")))/LEN($B39),0)</f>
        <v>1</v>
      </c>
      <c r="P39" s="42" t="n">
        <f aca="false">IFERROR((LEN(P$6)-LEN(SUBSTITUTE(P$6,$B39,"")))/LEN($B39),0)</f>
        <v>0</v>
      </c>
      <c r="Q39" s="42" t="n">
        <f aca="false">IFERROR((LEN(Q$6)-LEN(SUBSTITUTE(Q$6,$B39,"")))/LEN($B39),0)</f>
        <v>1</v>
      </c>
      <c r="R39" s="42" t="n">
        <f aca="false">IFERROR((LEN(R$6)-LEN(SUBSTITUTE(R$6,$B39,"")))/LEN($B39),0)</f>
        <v>0</v>
      </c>
      <c r="S39" s="42" t="n">
        <f aca="false">IFERROR((LEN(S$6)-LEN(SUBSTITUTE(S$6,$B39,"")))/LEN($B39),0)</f>
        <v>0</v>
      </c>
      <c r="T39" s="42" t="n">
        <f aca="false">IFERROR((LEN(T$6)-LEN(SUBSTITUTE(T$6,$B39,"")))/LEN($B39),0)</f>
        <v>0</v>
      </c>
      <c r="U39" s="42" t="n">
        <f aca="false">IFERROR((LEN(U$6)-LEN(SUBSTITUTE(U$6,$B39,"")))/LEN($B39),0)</f>
        <v>0</v>
      </c>
      <c r="V39" s="42" t="n">
        <f aca="false">IFERROR((LEN(V$6)-LEN(SUBSTITUTE(V$6,$B39,"")))/LEN($B39),0)</f>
        <v>0</v>
      </c>
    </row>
    <row r="40" customFormat="false" ht="13.5" hidden="false" customHeight="true" outlineLevel="0" collapsed="false">
      <c r="B40" s="39" t="s">
        <v>499</v>
      </c>
      <c r="C40" s="40" t="s">
        <v>500</v>
      </c>
      <c r="D40" s="41" t="n">
        <f aca="false">IFERROR((LEN($D$5)-LEN(SUBSTITUTE($D$5,$B40,"")))/LEN($B40),0)</f>
        <v>0</v>
      </c>
      <c r="E40" s="42" t="n">
        <f aca="false">IFERROR((LEN(E$6)-LEN(SUBSTITUTE(E$6,$B40,"")))/LEN($B40),0)</f>
        <v>0</v>
      </c>
      <c r="F40" s="42" t="n">
        <f aca="false">IFERROR((LEN(F$6)-LEN(SUBSTITUTE(F$6,$B40,"")))/LEN($B40),0)</f>
        <v>0</v>
      </c>
      <c r="G40" s="42" t="n">
        <f aca="false">IFERROR((LEN(G$6)-LEN(SUBSTITUTE(G$6,$B40,"")))/LEN($B40),0)</f>
        <v>0</v>
      </c>
      <c r="H40" s="42" t="n">
        <f aca="false">IFERROR((LEN(H$6)-LEN(SUBSTITUTE(H$6,$B40,"")))/LEN($B40),0)</f>
        <v>0</v>
      </c>
      <c r="I40" s="42" t="n">
        <f aca="false">IFERROR((LEN(I$6)-LEN(SUBSTITUTE(I$6,$B40,"")))/LEN($B40),0)</f>
        <v>0</v>
      </c>
      <c r="J40" s="42" t="n">
        <f aca="false">IFERROR((LEN(J$6)-LEN(SUBSTITUTE(J$6,$B40,"")))/LEN($B40),0)</f>
        <v>0</v>
      </c>
      <c r="K40" s="42" t="n">
        <f aca="false">IFERROR((LEN(K$6)-LEN(SUBSTITUTE(K$6,$B40,"")))/LEN($B40),0)</f>
        <v>0</v>
      </c>
      <c r="L40" s="42" t="n">
        <f aca="false">IFERROR((LEN(L$6)-LEN(SUBSTITUTE(L$6,$B40,"")))/LEN($B40),0)</f>
        <v>0</v>
      </c>
      <c r="M40" s="42" t="n">
        <f aca="false">IFERROR((LEN(M$6)-LEN(SUBSTITUTE(M$6,$B40,"")))/LEN($B40),0)</f>
        <v>0</v>
      </c>
      <c r="N40" s="42" t="n">
        <f aca="false">IFERROR((LEN(N$6)-LEN(SUBSTITUTE(N$6,$B40,"")))/LEN($B40),0)</f>
        <v>0</v>
      </c>
      <c r="O40" s="42" t="n">
        <f aca="false">IFERROR((LEN(O$6)-LEN(SUBSTITUTE(O$6,$B40,"")))/LEN($B40),0)</f>
        <v>0</v>
      </c>
      <c r="P40" s="42" t="n">
        <f aca="false">IFERROR((LEN(P$6)-LEN(SUBSTITUTE(P$6,$B40,"")))/LEN($B40),0)</f>
        <v>0</v>
      </c>
      <c r="Q40" s="42" t="n">
        <f aca="false">IFERROR((LEN(Q$6)-LEN(SUBSTITUTE(Q$6,$B40,"")))/LEN($B40),0)</f>
        <v>1</v>
      </c>
      <c r="R40" s="42" t="n">
        <f aca="false">IFERROR((LEN(R$6)-LEN(SUBSTITUTE(R$6,$B40,"")))/LEN($B40),0)</f>
        <v>0</v>
      </c>
      <c r="S40" s="42" t="n">
        <f aca="false">IFERROR((LEN(S$6)-LEN(SUBSTITUTE(S$6,$B40,"")))/LEN($B40),0)</f>
        <v>0</v>
      </c>
      <c r="T40" s="42" t="n">
        <f aca="false">IFERROR((LEN(T$6)-LEN(SUBSTITUTE(T$6,$B40,"")))/LEN($B40),0)</f>
        <v>1</v>
      </c>
      <c r="U40" s="42" t="n">
        <f aca="false">IFERROR((LEN(U$6)-LEN(SUBSTITUTE(U$6,$B40,"")))/LEN($B40),0)</f>
        <v>1</v>
      </c>
      <c r="V40" s="42" t="n">
        <f aca="false">IFERROR((LEN(V$6)-LEN(SUBSTITUTE(V$6,$B40,"")))/LEN($B40),0)</f>
        <v>2</v>
      </c>
    </row>
    <row r="41" customFormat="false" ht="13.5" hidden="false" customHeight="true" outlineLevel="0" collapsed="false">
      <c r="B41" s="39" t="s">
        <v>501</v>
      </c>
      <c r="C41" s="40" t="s">
        <v>500</v>
      </c>
      <c r="D41" s="41" t="n">
        <f aca="false">IFERROR((LEN($D$5)-LEN(SUBSTITUTE($D$5,$B41,"")))/LEN($B41),0)</f>
        <v>0</v>
      </c>
      <c r="E41" s="42" t="n">
        <f aca="false">IFERROR((LEN(E$6)-LEN(SUBSTITUTE(E$6,$B41,"")))/LEN($B41),0)</f>
        <v>0</v>
      </c>
      <c r="F41" s="42" t="n">
        <f aca="false">IFERROR((LEN(F$6)-LEN(SUBSTITUTE(F$6,$B41,"")))/LEN($B41),0)</f>
        <v>0</v>
      </c>
      <c r="G41" s="42" t="n">
        <f aca="false">IFERROR((LEN(G$6)-LEN(SUBSTITUTE(G$6,$B41,"")))/LEN($B41),0)</f>
        <v>0</v>
      </c>
      <c r="H41" s="42" t="n">
        <f aca="false">IFERROR((LEN(H$6)-LEN(SUBSTITUTE(H$6,$B41,"")))/LEN($B41),0)</f>
        <v>0</v>
      </c>
      <c r="I41" s="42" t="n">
        <f aca="false">IFERROR((LEN(I$6)-LEN(SUBSTITUTE(I$6,$B41,"")))/LEN($B41),0)</f>
        <v>0</v>
      </c>
      <c r="J41" s="42" t="n">
        <f aca="false">IFERROR((LEN(J$6)-LEN(SUBSTITUTE(J$6,$B41,"")))/LEN($B41),0)</f>
        <v>0</v>
      </c>
      <c r="K41" s="42" t="n">
        <f aca="false">IFERROR((LEN(K$6)-LEN(SUBSTITUTE(K$6,$B41,"")))/LEN($B41),0)</f>
        <v>0</v>
      </c>
      <c r="L41" s="42" t="n">
        <f aca="false">IFERROR((LEN(L$6)-LEN(SUBSTITUTE(L$6,$B41,"")))/LEN($B41),0)</f>
        <v>0</v>
      </c>
      <c r="M41" s="42" t="n">
        <f aca="false">IFERROR((LEN(M$6)-LEN(SUBSTITUTE(M$6,$B41,"")))/LEN($B41),0)</f>
        <v>0</v>
      </c>
      <c r="N41" s="42" t="n">
        <f aca="false">IFERROR((LEN(N$6)-LEN(SUBSTITUTE(N$6,$B41,"")))/LEN($B41),0)</f>
        <v>0</v>
      </c>
      <c r="O41" s="42" t="n">
        <f aca="false">IFERROR((LEN(O$6)-LEN(SUBSTITUTE(O$6,$B41,"")))/LEN($B41),0)</f>
        <v>0</v>
      </c>
      <c r="P41" s="42" t="n">
        <f aca="false">IFERROR((LEN(P$6)-LEN(SUBSTITUTE(P$6,$B41,"")))/LEN($B41),0)</f>
        <v>0</v>
      </c>
      <c r="Q41" s="42" t="n">
        <f aca="false">IFERROR((LEN(Q$6)-LEN(SUBSTITUTE(Q$6,$B41,"")))/LEN($B41),0)</f>
        <v>0</v>
      </c>
      <c r="R41" s="42" t="n">
        <f aca="false">IFERROR((LEN(R$6)-LEN(SUBSTITUTE(R$6,$B41,"")))/LEN($B41),0)</f>
        <v>2</v>
      </c>
      <c r="S41" s="42" t="n">
        <f aca="false">IFERROR((LEN(S$6)-LEN(SUBSTITUTE(S$6,$B41,"")))/LEN($B41),0)</f>
        <v>0</v>
      </c>
      <c r="T41" s="42" t="n">
        <f aca="false">IFERROR((LEN(T$6)-LEN(SUBSTITUTE(T$6,$B41,"")))/LEN($B41),0)</f>
        <v>0</v>
      </c>
      <c r="U41" s="42" t="n">
        <f aca="false">IFERROR((LEN(U$6)-LEN(SUBSTITUTE(U$6,$B41,"")))/LEN($B41),0)</f>
        <v>1</v>
      </c>
      <c r="V41" s="42" t="n">
        <f aca="false">IFERROR((LEN(V$6)-LEN(SUBSTITUTE(V$6,$B41,"")))/LEN($B41),0)</f>
        <v>0</v>
      </c>
    </row>
    <row r="42" customFormat="false" ht="13.5" hidden="false" customHeight="true" outlineLevel="0" collapsed="false">
      <c r="B42" s="39" t="s">
        <v>502</v>
      </c>
      <c r="C42" s="40" t="s">
        <v>500</v>
      </c>
      <c r="D42" s="41" t="n">
        <f aca="false">IFERROR((LEN($D$5)-LEN(SUBSTITUTE($D$5,$B42,"")))/LEN($B42),0)</f>
        <v>0</v>
      </c>
      <c r="E42" s="42" t="n">
        <f aca="false">IFERROR((LEN(E$6)-LEN(SUBSTITUTE(E$6,$B42,"")))/LEN($B42),0)</f>
        <v>0</v>
      </c>
      <c r="F42" s="42" t="n">
        <f aca="false">IFERROR((LEN(F$6)-LEN(SUBSTITUTE(F$6,$B42,"")))/LEN($B42),0)</f>
        <v>0</v>
      </c>
      <c r="G42" s="42" t="n">
        <f aca="false">IFERROR((LEN(G$6)-LEN(SUBSTITUTE(G$6,$B42,"")))/LEN($B42),0)</f>
        <v>0</v>
      </c>
      <c r="H42" s="42" t="n">
        <f aca="false">IFERROR((LEN(H$6)-LEN(SUBSTITUTE(H$6,$B42,"")))/LEN($B42),0)</f>
        <v>0</v>
      </c>
      <c r="I42" s="42" t="n">
        <f aca="false">IFERROR((LEN(I$6)-LEN(SUBSTITUTE(I$6,$B42,"")))/LEN($B42),0)</f>
        <v>0</v>
      </c>
      <c r="J42" s="42" t="n">
        <f aca="false">IFERROR((LEN(J$6)-LEN(SUBSTITUTE(J$6,$B42,"")))/LEN($B42),0)</f>
        <v>0</v>
      </c>
      <c r="K42" s="42" t="n">
        <f aca="false">IFERROR((LEN(K$6)-LEN(SUBSTITUTE(K$6,$B42,"")))/LEN($B42),0)</f>
        <v>0</v>
      </c>
      <c r="L42" s="42" t="n">
        <f aca="false">IFERROR((LEN(L$6)-LEN(SUBSTITUTE(L$6,$B42,"")))/LEN($B42),0)</f>
        <v>0</v>
      </c>
      <c r="M42" s="42" t="n">
        <f aca="false">IFERROR((LEN(M$6)-LEN(SUBSTITUTE(M$6,$B42,"")))/LEN($B42),0)</f>
        <v>0</v>
      </c>
      <c r="N42" s="42" t="n">
        <f aca="false">IFERROR((LEN(N$6)-LEN(SUBSTITUTE(N$6,$B42,"")))/LEN($B42),0)</f>
        <v>0</v>
      </c>
      <c r="O42" s="42" t="n">
        <f aca="false">IFERROR((LEN(O$6)-LEN(SUBSTITUTE(O$6,$B42,"")))/LEN($B42),0)</f>
        <v>0</v>
      </c>
      <c r="P42" s="42" t="n">
        <f aca="false">IFERROR((LEN(P$6)-LEN(SUBSTITUTE(P$6,$B42,"")))/LEN($B42),0)</f>
        <v>1</v>
      </c>
      <c r="Q42" s="42" t="n">
        <f aca="false">IFERROR((LEN(Q$6)-LEN(SUBSTITUTE(Q$6,$B42,"")))/LEN($B42),0)</f>
        <v>0</v>
      </c>
      <c r="R42" s="42" t="n">
        <f aca="false">IFERROR((LEN(R$6)-LEN(SUBSTITUTE(R$6,$B42,"")))/LEN($B42),0)</f>
        <v>0</v>
      </c>
      <c r="S42" s="42" t="n">
        <f aca="false">IFERROR((LEN(S$6)-LEN(SUBSTITUTE(S$6,$B42,"")))/LEN($B42),0)</f>
        <v>0</v>
      </c>
      <c r="T42" s="42" t="n">
        <f aca="false">IFERROR((LEN(T$6)-LEN(SUBSTITUTE(T$6,$B42,"")))/LEN($B42),0)</f>
        <v>0</v>
      </c>
      <c r="U42" s="42" t="n">
        <f aca="false">IFERROR((LEN(U$6)-LEN(SUBSTITUTE(U$6,$B42,"")))/LEN($B42),0)</f>
        <v>0</v>
      </c>
      <c r="V42" s="42" t="n">
        <f aca="false">IFERROR((LEN(V$6)-LEN(SUBSTITUTE(V$6,$B42,"")))/LEN($B42),0)</f>
        <v>0</v>
      </c>
    </row>
    <row r="43" customFormat="false" ht="13.5" hidden="false" customHeight="true" outlineLevel="0" collapsed="false">
      <c r="B43" s="39" t="s">
        <v>503</v>
      </c>
      <c r="C43" s="40" t="s">
        <v>500</v>
      </c>
      <c r="D43" s="41" t="n">
        <f aca="false">IFERROR((LEN($D$5)-LEN(SUBSTITUTE($D$5,$B43,"")))/LEN($B43),0)</f>
        <v>0</v>
      </c>
      <c r="E43" s="42" t="n">
        <f aca="false">IFERROR((LEN(E$6)-LEN(SUBSTITUTE(E$6,$B43,"")))/LEN($B43),0)</f>
        <v>0</v>
      </c>
      <c r="F43" s="42" t="n">
        <f aca="false">IFERROR((LEN(F$6)-LEN(SUBSTITUTE(F$6,$B43,"")))/LEN($B43),0)</f>
        <v>0</v>
      </c>
      <c r="G43" s="42" t="n">
        <f aca="false">IFERROR((LEN(G$6)-LEN(SUBSTITUTE(G$6,$B43,"")))/LEN($B43),0)</f>
        <v>0</v>
      </c>
      <c r="H43" s="42" t="n">
        <f aca="false">IFERROR((LEN(H$6)-LEN(SUBSTITUTE(H$6,$B43,"")))/LEN($B43),0)</f>
        <v>0</v>
      </c>
      <c r="I43" s="42" t="n">
        <f aca="false">IFERROR((LEN(I$6)-LEN(SUBSTITUTE(I$6,$B43,"")))/LEN($B43),0)</f>
        <v>0</v>
      </c>
      <c r="J43" s="42" t="n">
        <f aca="false">IFERROR((LEN(J$6)-LEN(SUBSTITUTE(J$6,$B43,"")))/LEN($B43),0)</f>
        <v>0</v>
      </c>
      <c r="K43" s="42" t="n">
        <f aca="false">IFERROR((LEN(K$6)-LEN(SUBSTITUTE(K$6,$B43,"")))/LEN($B43),0)</f>
        <v>0</v>
      </c>
      <c r="L43" s="42" t="n">
        <f aca="false">IFERROR((LEN(L$6)-LEN(SUBSTITUTE(L$6,$B43,"")))/LEN($B43),0)</f>
        <v>0</v>
      </c>
      <c r="M43" s="42" t="n">
        <f aca="false">IFERROR((LEN(M$6)-LEN(SUBSTITUTE(M$6,$B43,"")))/LEN($B43),0)</f>
        <v>0</v>
      </c>
      <c r="N43" s="42" t="n">
        <f aca="false">IFERROR((LEN(N$6)-LEN(SUBSTITUTE(N$6,$B43,"")))/LEN($B43),0)</f>
        <v>0</v>
      </c>
      <c r="O43" s="42" t="n">
        <f aca="false">IFERROR((LEN(O$6)-LEN(SUBSTITUTE(O$6,$B43,"")))/LEN($B43),0)</f>
        <v>0</v>
      </c>
      <c r="P43" s="42" t="n">
        <f aca="false">IFERROR((LEN(P$6)-LEN(SUBSTITUTE(P$6,$B43,"")))/LEN($B43),0)</f>
        <v>0</v>
      </c>
      <c r="Q43" s="42" t="n">
        <f aca="false">IFERROR((LEN(Q$6)-LEN(SUBSTITUTE(Q$6,$B43,"")))/LEN($B43),0)</f>
        <v>0</v>
      </c>
      <c r="R43" s="42" t="n">
        <f aca="false">IFERROR((LEN(R$6)-LEN(SUBSTITUTE(R$6,$B43,"")))/LEN($B43),0)</f>
        <v>0</v>
      </c>
      <c r="S43" s="42" t="n">
        <f aca="false">IFERROR((LEN(S$6)-LEN(SUBSTITUTE(S$6,$B43,"")))/LEN($B43),0)</f>
        <v>0</v>
      </c>
      <c r="T43" s="42" t="n">
        <f aca="false">IFERROR((LEN(T$6)-LEN(SUBSTITUTE(T$6,$B43,"")))/LEN($B43),0)</f>
        <v>0</v>
      </c>
      <c r="U43" s="42" t="n">
        <f aca="false">IFERROR((LEN(U$6)-LEN(SUBSTITUTE(U$6,$B43,"")))/LEN($B43),0)</f>
        <v>0</v>
      </c>
      <c r="V43" s="42" t="n">
        <f aca="false">IFERROR((LEN(V$6)-LEN(SUBSTITUTE(V$6,$B43,"")))/LEN($B43),0)</f>
        <v>0</v>
      </c>
    </row>
    <row r="44" customFormat="false" ht="13.5" hidden="false" customHeight="true" outlineLevel="0" collapsed="false">
      <c r="B44" s="39" t="s">
        <v>504</v>
      </c>
      <c r="C44" s="40" t="s">
        <v>500</v>
      </c>
      <c r="D44" s="41" t="n">
        <f aca="false">IFERROR((LEN($D$5)-LEN(SUBSTITUTE($D$5,$B44,"")))/LEN($B44),0)</f>
        <v>0</v>
      </c>
      <c r="E44" s="42" t="n">
        <f aca="false">IFERROR((LEN(E$6)-LEN(SUBSTITUTE(E$6,$B44,"")))/LEN($B44),0)</f>
        <v>0</v>
      </c>
      <c r="F44" s="42" t="n">
        <f aca="false">IFERROR((LEN(F$6)-LEN(SUBSTITUTE(F$6,$B44,"")))/LEN($B44),0)</f>
        <v>0</v>
      </c>
      <c r="G44" s="42" t="n">
        <f aca="false">IFERROR((LEN(G$6)-LEN(SUBSTITUTE(G$6,$B44,"")))/LEN($B44),0)</f>
        <v>0</v>
      </c>
      <c r="H44" s="42" t="n">
        <f aca="false">IFERROR((LEN(H$6)-LEN(SUBSTITUTE(H$6,$B44,"")))/LEN($B44),0)</f>
        <v>0</v>
      </c>
      <c r="I44" s="42" t="n">
        <f aca="false">IFERROR((LEN(I$6)-LEN(SUBSTITUTE(I$6,$B44,"")))/LEN($B44),0)</f>
        <v>0</v>
      </c>
      <c r="J44" s="42" t="n">
        <f aca="false">IFERROR((LEN(J$6)-LEN(SUBSTITUTE(J$6,$B44,"")))/LEN($B44),0)</f>
        <v>0</v>
      </c>
      <c r="K44" s="42" t="n">
        <f aca="false">IFERROR((LEN(K$6)-LEN(SUBSTITUTE(K$6,$B44,"")))/LEN($B44),0)</f>
        <v>0</v>
      </c>
      <c r="L44" s="42" t="n">
        <f aca="false">IFERROR((LEN(L$6)-LEN(SUBSTITUTE(L$6,$B44,"")))/LEN($B44),0)</f>
        <v>0</v>
      </c>
      <c r="M44" s="42" t="n">
        <f aca="false">IFERROR((LEN(M$6)-LEN(SUBSTITUTE(M$6,$B44,"")))/LEN($B44),0)</f>
        <v>0</v>
      </c>
      <c r="N44" s="42" t="n">
        <f aca="false">IFERROR((LEN(N$6)-LEN(SUBSTITUTE(N$6,$B44,"")))/LEN($B44),0)</f>
        <v>0</v>
      </c>
      <c r="O44" s="42" t="n">
        <f aca="false">IFERROR((LEN(O$6)-LEN(SUBSTITUTE(O$6,$B44,"")))/LEN($B44),0)</f>
        <v>0</v>
      </c>
      <c r="P44" s="42" t="n">
        <f aca="false">IFERROR((LEN(P$6)-LEN(SUBSTITUTE(P$6,$B44,"")))/LEN($B44),0)</f>
        <v>0</v>
      </c>
      <c r="Q44" s="42" t="n">
        <f aca="false">IFERROR((LEN(Q$6)-LEN(SUBSTITUTE(Q$6,$B44,"")))/LEN($B44),0)</f>
        <v>0</v>
      </c>
      <c r="R44" s="42" t="n">
        <f aca="false">IFERROR((LEN(R$6)-LEN(SUBSTITUTE(R$6,$B44,"")))/LEN($B44),0)</f>
        <v>0</v>
      </c>
      <c r="S44" s="42" t="n">
        <f aca="false">IFERROR((LEN(S$6)-LEN(SUBSTITUTE(S$6,$B44,"")))/LEN($B44),0)</f>
        <v>0</v>
      </c>
      <c r="T44" s="42" t="n">
        <f aca="false">IFERROR((LEN(T$6)-LEN(SUBSTITUTE(T$6,$B44,"")))/LEN($B44),0)</f>
        <v>1</v>
      </c>
      <c r="U44" s="42" t="n">
        <f aca="false">IFERROR((LEN(U$6)-LEN(SUBSTITUTE(U$6,$B44,"")))/LEN($B44),0)</f>
        <v>1</v>
      </c>
      <c r="V44" s="42" t="n">
        <f aca="false">IFERROR((LEN(V$6)-LEN(SUBSTITUTE(V$6,$B44,"")))/LEN($B44),0)</f>
        <v>0</v>
      </c>
    </row>
    <row r="45" customFormat="false" ht="13.5" hidden="false" customHeight="true" outlineLevel="0" collapsed="false">
      <c r="B45" s="39" t="s">
        <v>505</v>
      </c>
      <c r="C45" s="40" t="s">
        <v>500</v>
      </c>
      <c r="D45" s="41" t="n">
        <f aca="false">IFERROR((LEN($D$5)-LEN(SUBSTITUTE($D$5,$B45,"")))/LEN($B45),0)</f>
        <v>0</v>
      </c>
      <c r="E45" s="42" t="n">
        <f aca="false">IFERROR((LEN(E$6)-LEN(SUBSTITUTE(E$6,$B45,"")))/LEN($B45),0)</f>
        <v>0</v>
      </c>
      <c r="F45" s="42" t="n">
        <f aca="false">IFERROR((LEN(F$6)-LEN(SUBSTITUTE(F$6,$B45,"")))/LEN($B45),0)</f>
        <v>0</v>
      </c>
      <c r="G45" s="42" t="n">
        <f aca="false">IFERROR((LEN(G$6)-LEN(SUBSTITUTE(G$6,$B45,"")))/LEN($B45),0)</f>
        <v>0</v>
      </c>
      <c r="H45" s="42" t="n">
        <f aca="false">IFERROR((LEN(H$6)-LEN(SUBSTITUTE(H$6,$B45,"")))/LEN($B45),0)</f>
        <v>0</v>
      </c>
      <c r="I45" s="42" t="n">
        <f aca="false">IFERROR((LEN(I$6)-LEN(SUBSTITUTE(I$6,$B45,"")))/LEN($B45),0)</f>
        <v>0</v>
      </c>
      <c r="J45" s="42" t="n">
        <f aca="false">IFERROR((LEN(J$6)-LEN(SUBSTITUTE(J$6,$B45,"")))/LEN($B45),0)</f>
        <v>0</v>
      </c>
      <c r="K45" s="42" t="n">
        <f aca="false">IFERROR((LEN(K$6)-LEN(SUBSTITUTE(K$6,$B45,"")))/LEN($B45),0)</f>
        <v>0</v>
      </c>
      <c r="L45" s="42" t="n">
        <f aca="false">IFERROR((LEN(L$6)-LEN(SUBSTITUTE(L$6,$B45,"")))/LEN($B45),0)</f>
        <v>0</v>
      </c>
      <c r="M45" s="42" t="n">
        <f aca="false">IFERROR((LEN(M$6)-LEN(SUBSTITUTE(M$6,$B45,"")))/LEN($B45),0)</f>
        <v>0</v>
      </c>
      <c r="N45" s="42" t="n">
        <f aca="false">IFERROR((LEN(N$6)-LEN(SUBSTITUTE(N$6,$B45,"")))/LEN($B45),0)</f>
        <v>0</v>
      </c>
      <c r="O45" s="42" t="n">
        <f aca="false">IFERROR((LEN(O$6)-LEN(SUBSTITUTE(O$6,$B45,"")))/LEN($B45),0)</f>
        <v>0</v>
      </c>
      <c r="P45" s="42" t="n">
        <f aca="false">IFERROR((LEN(P$6)-LEN(SUBSTITUTE(P$6,$B45,"")))/LEN($B45),0)</f>
        <v>0</v>
      </c>
      <c r="Q45" s="42" t="n">
        <f aca="false">IFERROR((LEN(Q$6)-LEN(SUBSTITUTE(Q$6,$B45,"")))/LEN($B45),0)</f>
        <v>0</v>
      </c>
      <c r="R45" s="42" t="n">
        <f aca="false">IFERROR((LEN(R$6)-LEN(SUBSTITUTE(R$6,$B45,"")))/LEN($B45),0)</f>
        <v>0</v>
      </c>
      <c r="S45" s="42" t="n">
        <f aca="false">IFERROR((LEN(S$6)-LEN(SUBSTITUTE(S$6,$B45,"")))/LEN($B45),0)</f>
        <v>0</v>
      </c>
      <c r="T45" s="42" t="n">
        <f aca="false">IFERROR((LEN(T$6)-LEN(SUBSTITUTE(T$6,$B45,"")))/LEN($B45),0)</f>
        <v>1</v>
      </c>
      <c r="U45" s="42" t="n">
        <f aca="false">IFERROR((LEN(U$6)-LEN(SUBSTITUTE(U$6,$B45,"")))/LEN($B45),0)</f>
        <v>0</v>
      </c>
      <c r="V45" s="42" t="n">
        <f aca="false">IFERROR((LEN(V$6)-LEN(SUBSTITUTE(V$6,$B45,"")))/LEN($B45),0)</f>
        <v>0</v>
      </c>
    </row>
    <row r="46" customFormat="false" ht="13.5" hidden="false" customHeight="true" outlineLevel="0" collapsed="false">
      <c r="B46" s="39" t="s">
        <v>506</v>
      </c>
      <c r="C46" s="40" t="s">
        <v>500</v>
      </c>
      <c r="D46" s="41" t="n">
        <f aca="false">IFERROR((LEN($D$5)-LEN(SUBSTITUTE($D$5,$B46,"")))/LEN($B46),0)</f>
        <v>0</v>
      </c>
      <c r="E46" s="42" t="n">
        <f aca="false">IFERROR((LEN(E$6)-LEN(SUBSTITUTE(E$6,$B46,"")))/LEN($B46),0)</f>
        <v>0</v>
      </c>
      <c r="F46" s="42" t="n">
        <f aca="false">IFERROR((LEN(F$6)-LEN(SUBSTITUTE(F$6,$B46,"")))/LEN($B46),0)</f>
        <v>0</v>
      </c>
      <c r="G46" s="42" t="n">
        <f aca="false">IFERROR((LEN(G$6)-LEN(SUBSTITUTE(G$6,$B46,"")))/LEN($B46),0)</f>
        <v>0</v>
      </c>
      <c r="H46" s="42" t="n">
        <f aca="false">IFERROR((LEN(H$6)-LEN(SUBSTITUTE(H$6,$B46,"")))/LEN($B46),0)</f>
        <v>0</v>
      </c>
      <c r="I46" s="42" t="n">
        <f aca="false">IFERROR((LEN(I$6)-LEN(SUBSTITUTE(I$6,$B46,"")))/LEN($B46),0)</f>
        <v>0</v>
      </c>
      <c r="J46" s="42" t="n">
        <f aca="false">IFERROR((LEN(J$6)-LEN(SUBSTITUTE(J$6,$B46,"")))/LEN($B46),0)</f>
        <v>0</v>
      </c>
      <c r="K46" s="42" t="n">
        <f aca="false">IFERROR((LEN(K$6)-LEN(SUBSTITUTE(K$6,$B46,"")))/LEN($B46),0)</f>
        <v>0</v>
      </c>
      <c r="L46" s="42" t="n">
        <f aca="false">IFERROR((LEN(L$6)-LEN(SUBSTITUTE(L$6,$B46,"")))/LEN($B46),0)</f>
        <v>0</v>
      </c>
      <c r="M46" s="42" t="n">
        <f aca="false">IFERROR((LEN(M$6)-LEN(SUBSTITUTE(M$6,$B46,"")))/LEN($B46),0)</f>
        <v>0</v>
      </c>
      <c r="N46" s="42" t="n">
        <f aca="false">IFERROR((LEN(N$6)-LEN(SUBSTITUTE(N$6,$B46,"")))/LEN($B46),0)</f>
        <v>0</v>
      </c>
      <c r="O46" s="42" t="n">
        <f aca="false">IFERROR((LEN(O$6)-LEN(SUBSTITUTE(O$6,$B46,"")))/LEN($B46),0)</f>
        <v>0</v>
      </c>
      <c r="P46" s="42" t="n">
        <f aca="false">IFERROR((LEN(P$6)-LEN(SUBSTITUTE(P$6,$B46,"")))/LEN($B46),0)</f>
        <v>0</v>
      </c>
      <c r="Q46" s="42" t="n">
        <f aca="false">IFERROR((LEN(Q$6)-LEN(SUBSTITUTE(Q$6,$B46,"")))/LEN($B46),0)</f>
        <v>0</v>
      </c>
      <c r="R46" s="42" t="n">
        <f aca="false">IFERROR((LEN(R$6)-LEN(SUBSTITUTE(R$6,$B46,"")))/LEN($B46),0)</f>
        <v>0</v>
      </c>
      <c r="S46" s="42" t="n">
        <f aca="false">IFERROR((LEN(S$6)-LEN(SUBSTITUTE(S$6,$B46,"")))/LEN($B46),0)</f>
        <v>0</v>
      </c>
      <c r="T46" s="42" t="n">
        <f aca="false">IFERROR((LEN(T$6)-LEN(SUBSTITUTE(T$6,$B46,"")))/LEN($B46),0)</f>
        <v>1</v>
      </c>
      <c r="U46" s="42" t="n">
        <f aca="false">IFERROR((LEN(U$6)-LEN(SUBSTITUTE(U$6,$B46,"")))/LEN($B46),0)</f>
        <v>0</v>
      </c>
      <c r="V46" s="42" t="n">
        <f aca="false">IFERROR((LEN(V$6)-LEN(SUBSTITUTE(V$6,$B46,"")))/LEN($B46),0)</f>
        <v>1</v>
      </c>
    </row>
    <row r="47" customFormat="false" ht="13.5" hidden="false" customHeight="true" outlineLevel="0" collapsed="false">
      <c r="B47" s="39" t="s">
        <v>507</v>
      </c>
      <c r="C47" s="40" t="s">
        <v>500</v>
      </c>
      <c r="D47" s="41" t="n">
        <f aca="false">IFERROR((LEN($D$5)-LEN(SUBSTITUTE($D$5,$B47,"")))/LEN($B47),0)</f>
        <v>0</v>
      </c>
      <c r="E47" s="42" t="n">
        <f aca="false">IFERROR((LEN(E$6)-LEN(SUBSTITUTE(E$6,$B47,"")))/LEN($B47),0)</f>
        <v>0</v>
      </c>
      <c r="F47" s="42" t="n">
        <f aca="false">IFERROR((LEN(F$6)-LEN(SUBSTITUTE(F$6,$B47,"")))/LEN($B47),0)</f>
        <v>0</v>
      </c>
      <c r="G47" s="42" t="n">
        <f aca="false">IFERROR((LEN(G$6)-LEN(SUBSTITUTE(G$6,$B47,"")))/LEN($B47),0)</f>
        <v>0</v>
      </c>
      <c r="H47" s="42" t="n">
        <f aca="false">IFERROR((LEN(H$6)-LEN(SUBSTITUTE(H$6,$B47,"")))/LEN($B47),0)</f>
        <v>0</v>
      </c>
      <c r="I47" s="42" t="n">
        <f aca="false">IFERROR((LEN(I$6)-LEN(SUBSTITUTE(I$6,$B47,"")))/LEN($B47),0)</f>
        <v>0</v>
      </c>
      <c r="J47" s="42" t="n">
        <f aca="false">IFERROR((LEN(J$6)-LEN(SUBSTITUTE(J$6,$B47,"")))/LEN($B47),0)</f>
        <v>0</v>
      </c>
      <c r="K47" s="42" t="n">
        <f aca="false">IFERROR((LEN(K$6)-LEN(SUBSTITUTE(K$6,$B47,"")))/LEN($B47),0)</f>
        <v>0</v>
      </c>
      <c r="L47" s="42" t="n">
        <f aca="false">IFERROR((LEN(L$6)-LEN(SUBSTITUTE(L$6,$B47,"")))/LEN($B47),0)</f>
        <v>0</v>
      </c>
      <c r="M47" s="42" t="n">
        <f aca="false">IFERROR((LEN(M$6)-LEN(SUBSTITUTE(M$6,$B47,"")))/LEN($B47),0)</f>
        <v>0</v>
      </c>
      <c r="N47" s="42" t="n">
        <f aca="false">IFERROR((LEN(N$6)-LEN(SUBSTITUTE(N$6,$B47,"")))/LEN($B47),0)</f>
        <v>0</v>
      </c>
      <c r="O47" s="42" t="n">
        <f aca="false">IFERROR((LEN(O$6)-LEN(SUBSTITUTE(O$6,$B47,"")))/LEN($B47),0)</f>
        <v>0</v>
      </c>
      <c r="P47" s="42" t="n">
        <f aca="false">IFERROR((LEN(P$6)-LEN(SUBSTITUTE(P$6,$B47,"")))/LEN($B47),0)</f>
        <v>0</v>
      </c>
      <c r="Q47" s="42" t="n">
        <f aca="false">IFERROR((LEN(Q$6)-LEN(SUBSTITUTE(Q$6,$B47,"")))/LEN($B47),0)</f>
        <v>0</v>
      </c>
      <c r="R47" s="42" t="n">
        <f aca="false">IFERROR((LEN(R$6)-LEN(SUBSTITUTE(R$6,$B47,"")))/LEN($B47),0)</f>
        <v>1</v>
      </c>
      <c r="S47" s="42" t="n">
        <f aca="false">IFERROR((LEN(S$6)-LEN(SUBSTITUTE(S$6,$B47,"")))/LEN($B47),0)</f>
        <v>0</v>
      </c>
      <c r="T47" s="42" t="n">
        <f aca="false">IFERROR((LEN(T$6)-LEN(SUBSTITUTE(T$6,$B47,"")))/LEN($B47),0)</f>
        <v>0</v>
      </c>
      <c r="U47" s="42" t="n">
        <f aca="false">IFERROR((LEN(U$6)-LEN(SUBSTITUTE(U$6,$B47,"")))/LEN($B47),0)</f>
        <v>1</v>
      </c>
      <c r="V47" s="42" t="n">
        <f aca="false">IFERROR((LEN(V$6)-LEN(SUBSTITUTE(V$6,$B47,"")))/LEN($B47),0)</f>
        <v>0</v>
      </c>
    </row>
    <row r="48" customFormat="false" ht="13.5" hidden="false" customHeight="true" outlineLevel="0" collapsed="false">
      <c r="B48" s="39" t="s">
        <v>508</v>
      </c>
      <c r="C48" s="40" t="s">
        <v>500</v>
      </c>
      <c r="D48" s="41" t="n">
        <f aca="false">IFERROR((LEN($D$5)-LEN(SUBSTITUTE($D$5,$B48,"")))/LEN($B48),0)</f>
        <v>0</v>
      </c>
      <c r="E48" s="42" t="n">
        <f aca="false">IFERROR((LEN(E$6)-LEN(SUBSTITUTE(E$6,$B48,"")))/LEN($B48),0)</f>
        <v>0</v>
      </c>
      <c r="F48" s="42" t="n">
        <f aca="false">IFERROR((LEN(F$6)-LEN(SUBSTITUTE(F$6,$B48,"")))/LEN($B48),0)</f>
        <v>0</v>
      </c>
      <c r="G48" s="42" t="n">
        <f aca="false">IFERROR((LEN(G$6)-LEN(SUBSTITUTE(G$6,$B48,"")))/LEN($B48),0)</f>
        <v>0</v>
      </c>
      <c r="H48" s="42" t="n">
        <f aca="false">IFERROR((LEN(H$6)-LEN(SUBSTITUTE(H$6,$B48,"")))/LEN($B48),0)</f>
        <v>0</v>
      </c>
      <c r="I48" s="42" t="n">
        <f aca="false">IFERROR((LEN(I$6)-LEN(SUBSTITUTE(I$6,$B48,"")))/LEN($B48),0)</f>
        <v>0</v>
      </c>
      <c r="J48" s="42" t="n">
        <f aca="false">IFERROR((LEN(J$6)-LEN(SUBSTITUTE(J$6,$B48,"")))/LEN($B48),0)</f>
        <v>0</v>
      </c>
      <c r="K48" s="42" t="n">
        <f aca="false">IFERROR((LEN(K$6)-LEN(SUBSTITUTE(K$6,$B48,"")))/LEN($B48),0)</f>
        <v>0</v>
      </c>
      <c r="L48" s="42" t="n">
        <f aca="false">IFERROR((LEN(L$6)-LEN(SUBSTITUTE(L$6,$B48,"")))/LEN($B48),0)</f>
        <v>0</v>
      </c>
      <c r="M48" s="42" t="n">
        <f aca="false">IFERROR((LEN(M$6)-LEN(SUBSTITUTE(M$6,$B48,"")))/LEN($B48),0)</f>
        <v>0</v>
      </c>
      <c r="N48" s="42" t="n">
        <f aca="false">IFERROR((LEN(N$6)-LEN(SUBSTITUTE(N$6,$B48,"")))/LEN($B48),0)</f>
        <v>0</v>
      </c>
      <c r="O48" s="42" t="n">
        <f aca="false">IFERROR((LEN(O$6)-LEN(SUBSTITUTE(O$6,$B48,"")))/LEN($B48),0)</f>
        <v>0</v>
      </c>
      <c r="P48" s="42" t="n">
        <f aca="false">IFERROR((LEN(P$6)-LEN(SUBSTITUTE(P$6,$B48,"")))/LEN($B48),0)</f>
        <v>0</v>
      </c>
      <c r="Q48" s="42" t="n">
        <f aca="false">IFERROR((LEN(Q$6)-LEN(SUBSTITUTE(Q$6,$B48,"")))/LEN($B48),0)</f>
        <v>0</v>
      </c>
      <c r="R48" s="42" t="n">
        <f aca="false">IFERROR((LEN(R$6)-LEN(SUBSTITUTE(R$6,$B48,"")))/LEN($B48),0)</f>
        <v>0</v>
      </c>
      <c r="S48" s="42" t="n">
        <f aca="false">IFERROR((LEN(S$6)-LEN(SUBSTITUTE(S$6,$B48,"")))/LEN($B48),0)</f>
        <v>0</v>
      </c>
      <c r="T48" s="42" t="n">
        <f aca="false">IFERROR((LEN(T$6)-LEN(SUBSTITUTE(T$6,$B48,"")))/LEN($B48),0)</f>
        <v>1</v>
      </c>
      <c r="U48" s="42" t="n">
        <f aca="false">IFERROR((LEN(U$6)-LEN(SUBSTITUTE(U$6,$B48,"")))/LEN($B48),0)</f>
        <v>0</v>
      </c>
      <c r="V48" s="42" t="n">
        <f aca="false">IFERROR((LEN(V$6)-LEN(SUBSTITUTE(V$6,$B48,"")))/LEN($B48),0)</f>
        <v>0</v>
      </c>
    </row>
    <row r="49" customFormat="false" ht="13.5" hidden="false" customHeight="true" outlineLevel="0" collapsed="false">
      <c r="B49" s="39" t="s">
        <v>509</v>
      </c>
      <c r="C49" s="40" t="s">
        <v>500</v>
      </c>
      <c r="D49" s="41" t="n">
        <f aca="false">IFERROR((LEN($D$5)-LEN(SUBSTITUTE($D$5,$B49,"")))/LEN($B49),0)</f>
        <v>0</v>
      </c>
      <c r="E49" s="42" t="n">
        <f aca="false">IFERROR((LEN(E$6)-LEN(SUBSTITUTE(E$6,$B49,"")))/LEN($B49),0)</f>
        <v>0</v>
      </c>
      <c r="F49" s="42" t="n">
        <f aca="false">IFERROR((LEN(F$6)-LEN(SUBSTITUTE(F$6,$B49,"")))/LEN($B49),0)</f>
        <v>0</v>
      </c>
      <c r="G49" s="42" t="n">
        <f aca="false">IFERROR((LEN(G$6)-LEN(SUBSTITUTE(G$6,$B49,"")))/LEN($B49),0)</f>
        <v>0</v>
      </c>
      <c r="H49" s="42" t="n">
        <f aca="false">IFERROR((LEN(H$6)-LEN(SUBSTITUTE(H$6,$B49,"")))/LEN($B49),0)</f>
        <v>0</v>
      </c>
      <c r="I49" s="42" t="n">
        <f aca="false">IFERROR((LEN(I$6)-LEN(SUBSTITUTE(I$6,$B49,"")))/LEN($B49),0)</f>
        <v>0</v>
      </c>
      <c r="J49" s="42" t="n">
        <f aca="false">IFERROR((LEN(J$6)-LEN(SUBSTITUTE(J$6,$B49,"")))/LEN($B49),0)</f>
        <v>0</v>
      </c>
      <c r="K49" s="42" t="n">
        <f aca="false">IFERROR((LEN(K$6)-LEN(SUBSTITUTE(K$6,$B49,"")))/LEN($B49),0)</f>
        <v>0</v>
      </c>
      <c r="L49" s="42" t="n">
        <f aca="false">IFERROR((LEN(L$6)-LEN(SUBSTITUTE(L$6,$B49,"")))/LEN($B49),0)</f>
        <v>0</v>
      </c>
      <c r="M49" s="42" t="n">
        <f aca="false">IFERROR((LEN(M$6)-LEN(SUBSTITUTE(M$6,$B49,"")))/LEN($B49),0)</f>
        <v>0</v>
      </c>
      <c r="N49" s="42" t="n">
        <f aca="false">IFERROR((LEN(N$6)-LEN(SUBSTITUTE(N$6,$B49,"")))/LEN($B49),0)</f>
        <v>0</v>
      </c>
      <c r="O49" s="42" t="n">
        <f aca="false">IFERROR((LEN(O$6)-LEN(SUBSTITUTE(O$6,$B49,"")))/LEN($B49),0)</f>
        <v>0</v>
      </c>
      <c r="P49" s="42" t="n">
        <f aca="false">IFERROR((LEN(P$6)-LEN(SUBSTITUTE(P$6,$B49,"")))/LEN($B49),0)</f>
        <v>0</v>
      </c>
      <c r="Q49" s="42" t="n">
        <f aca="false">IFERROR((LEN(Q$6)-LEN(SUBSTITUTE(Q$6,$B49,"")))/LEN($B49),0)</f>
        <v>0</v>
      </c>
      <c r="R49" s="42" t="n">
        <f aca="false">IFERROR((LEN(R$6)-LEN(SUBSTITUTE(R$6,$B49,"")))/LEN($B49),0)</f>
        <v>0</v>
      </c>
      <c r="S49" s="42" t="n">
        <f aca="false">IFERROR((LEN(S$6)-LEN(SUBSTITUTE(S$6,$B49,"")))/LEN($B49),0)</f>
        <v>0</v>
      </c>
      <c r="T49" s="42" t="n">
        <f aca="false">IFERROR((LEN(T$6)-LEN(SUBSTITUTE(T$6,$B49,"")))/LEN($B49),0)</f>
        <v>0</v>
      </c>
      <c r="U49" s="42" t="n">
        <f aca="false">IFERROR((LEN(U$6)-LEN(SUBSTITUTE(U$6,$B49,"")))/LEN($B49),0)</f>
        <v>0</v>
      </c>
      <c r="V49" s="42" t="n">
        <f aca="false">IFERROR((LEN(V$6)-LEN(SUBSTITUTE(V$6,$B49,"")))/LEN($B49),0)</f>
        <v>1</v>
      </c>
    </row>
    <row r="50" customFormat="false" ht="13.5" hidden="false" customHeight="true" outlineLevel="0" collapsed="false">
      <c r="B50" s="39" t="s">
        <v>510</v>
      </c>
      <c r="C50" s="40" t="s">
        <v>511</v>
      </c>
      <c r="D50" s="41" t="n">
        <f aca="false">IFERROR((LEN($D$5)-LEN(SUBSTITUTE($D$5,$B50,"")))/LEN($B50),0)</f>
        <v>0</v>
      </c>
      <c r="E50" s="42" t="n">
        <f aca="false">IFERROR((LEN(E$6)-LEN(SUBSTITUTE(E$6,$B50,"")))/LEN($B50),0)</f>
        <v>1</v>
      </c>
      <c r="F50" s="42" t="n">
        <f aca="false">IFERROR((LEN(F$6)-LEN(SUBSTITUTE(F$6,$B50,"")))/LEN($B50),0)</f>
        <v>1</v>
      </c>
      <c r="G50" s="42" t="n">
        <f aca="false">IFERROR((LEN(G$6)-LEN(SUBSTITUTE(G$6,$B50,"")))/LEN($B50),0)</f>
        <v>0</v>
      </c>
      <c r="H50" s="42" t="n">
        <f aca="false">IFERROR((LEN(H$6)-LEN(SUBSTITUTE(H$6,$B50,"")))/LEN($B50),0)</f>
        <v>0</v>
      </c>
      <c r="I50" s="42" t="n">
        <f aca="false">IFERROR((LEN(I$6)-LEN(SUBSTITUTE(I$6,$B50,"")))/LEN($B50),0)</f>
        <v>1</v>
      </c>
      <c r="J50" s="42" t="n">
        <f aca="false">IFERROR((LEN(J$6)-LEN(SUBSTITUTE(J$6,$B50,"")))/LEN($B50),0)</f>
        <v>0</v>
      </c>
      <c r="K50" s="42" t="n">
        <f aca="false">IFERROR((LEN(K$6)-LEN(SUBSTITUTE(K$6,$B50,"")))/LEN($B50),0)</f>
        <v>1</v>
      </c>
      <c r="L50" s="42" t="n">
        <f aca="false">IFERROR((LEN(L$6)-LEN(SUBSTITUTE(L$6,$B50,"")))/LEN($B50),0)</f>
        <v>0</v>
      </c>
      <c r="M50" s="42" t="n">
        <f aca="false">IFERROR((LEN(M$6)-LEN(SUBSTITUTE(M$6,$B50,"")))/LEN($B50),0)</f>
        <v>1</v>
      </c>
      <c r="N50" s="42" t="n">
        <f aca="false">IFERROR((LEN(N$6)-LEN(SUBSTITUTE(N$6,$B50,"")))/LEN($B50),0)</f>
        <v>0</v>
      </c>
      <c r="O50" s="42" t="n">
        <f aca="false">IFERROR((LEN(O$6)-LEN(SUBSTITUTE(O$6,$B50,"")))/LEN($B50),0)</f>
        <v>0</v>
      </c>
      <c r="P50" s="42" t="n">
        <f aca="false">IFERROR((LEN(P$6)-LEN(SUBSTITUTE(P$6,$B50,"")))/LEN($B50),0)</f>
        <v>1</v>
      </c>
      <c r="Q50" s="42" t="n">
        <f aca="false">IFERROR((LEN(Q$6)-LEN(SUBSTITUTE(Q$6,$B50,"")))/LEN($B50),0)</f>
        <v>1</v>
      </c>
      <c r="R50" s="42" t="n">
        <f aca="false">IFERROR((LEN(R$6)-LEN(SUBSTITUTE(R$6,$B50,"")))/LEN($B50),0)</f>
        <v>0</v>
      </c>
      <c r="S50" s="42" t="n">
        <f aca="false">IFERROR((LEN(S$6)-LEN(SUBSTITUTE(S$6,$B50,"")))/LEN($B50),0)</f>
        <v>1</v>
      </c>
      <c r="T50" s="42" t="n">
        <f aca="false">IFERROR((LEN(T$6)-LEN(SUBSTITUTE(T$6,$B50,"")))/LEN($B50),0)</f>
        <v>0</v>
      </c>
      <c r="U50" s="42" t="n">
        <f aca="false">IFERROR((LEN(U$6)-LEN(SUBSTITUTE(U$6,$B50,"")))/LEN($B50),0)</f>
        <v>0</v>
      </c>
      <c r="V50" s="42" t="n">
        <f aca="false">IFERROR((LEN(V$6)-LEN(SUBSTITUTE(V$6,$B50,"")))/LEN($B50),0)</f>
        <v>0</v>
      </c>
    </row>
    <row r="51" customFormat="false" ht="13.5" hidden="false" customHeight="true" outlineLevel="0" collapsed="false">
      <c r="B51" s="39" t="s">
        <v>512</v>
      </c>
      <c r="C51" s="40" t="s">
        <v>511</v>
      </c>
      <c r="D51" s="41" t="n">
        <f aca="false">IFERROR((LEN($D$5)-LEN(SUBSTITUTE($D$5,$B51,"")))/LEN($B51),0)</f>
        <v>0</v>
      </c>
      <c r="E51" s="42" t="n">
        <f aca="false">IFERROR((LEN(E$6)-LEN(SUBSTITUTE(E$6,$B51,"")))/LEN($B51),0)</f>
        <v>1</v>
      </c>
      <c r="F51" s="42" t="n">
        <f aca="false">IFERROR((LEN(F$6)-LEN(SUBSTITUTE(F$6,$B51,"")))/LEN($B51),0)</f>
        <v>0</v>
      </c>
      <c r="G51" s="42" t="n">
        <f aca="false">IFERROR((LEN(G$6)-LEN(SUBSTITUTE(G$6,$B51,"")))/LEN($B51),0)</f>
        <v>0</v>
      </c>
      <c r="H51" s="42" t="n">
        <f aca="false">IFERROR((LEN(H$6)-LEN(SUBSTITUTE(H$6,$B51,"")))/LEN($B51),0)</f>
        <v>1</v>
      </c>
      <c r="I51" s="42" t="n">
        <f aca="false">IFERROR((LEN(I$6)-LEN(SUBSTITUTE(I$6,$B51,"")))/LEN($B51),0)</f>
        <v>0</v>
      </c>
      <c r="J51" s="42" t="n">
        <f aca="false">IFERROR((LEN(J$6)-LEN(SUBSTITUTE(J$6,$B51,"")))/LEN($B51),0)</f>
        <v>0</v>
      </c>
      <c r="K51" s="42" t="n">
        <f aca="false">IFERROR((LEN(K$6)-LEN(SUBSTITUTE(K$6,$B51,"")))/LEN($B51),0)</f>
        <v>1</v>
      </c>
      <c r="L51" s="42" t="n">
        <f aca="false">IFERROR((LEN(L$6)-LEN(SUBSTITUTE(L$6,$B51,"")))/LEN($B51),0)</f>
        <v>1</v>
      </c>
      <c r="M51" s="42" t="n">
        <f aca="false">IFERROR((LEN(M$6)-LEN(SUBSTITUTE(M$6,$B51,"")))/LEN($B51),0)</f>
        <v>0</v>
      </c>
      <c r="N51" s="42" t="n">
        <f aca="false">IFERROR((LEN(N$6)-LEN(SUBSTITUTE(N$6,$B51,"")))/LEN($B51),0)</f>
        <v>0</v>
      </c>
      <c r="O51" s="42" t="n">
        <f aca="false">IFERROR((LEN(O$6)-LEN(SUBSTITUTE(O$6,$B51,"")))/LEN($B51),0)</f>
        <v>0</v>
      </c>
      <c r="P51" s="42" t="n">
        <f aca="false">IFERROR((LEN(P$6)-LEN(SUBSTITUTE(P$6,$B51,"")))/LEN($B51),0)</f>
        <v>0</v>
      </c>
      <c r="Q51" s="42" t="n">
        <f aca="false">IFERROR((LEN(Q$6)-LEN(SUBSTITUTE(Q$6,$B51,"")))/LEN($B51),0)</f>
        <v>0</v>
      </c>
      <c r="R51" s="42" t="n">
        <f aca="false">IFERROR((LEN(R$6)-LEN(SUBSTITUTE(R$6,$B51,"")))/LEN($B51),0)</f>
        <v>0</v>
      </c>
      <c r="S51" s="42" t="n">
        <f aca="false">IFERROR((LEN(S$6)-LEN(SUBSTITUTE(S$6,$B51,"")))/LEN($B51),0)</f>
        <v>0</v>
      </c>
      <c r="T51" s="42" t="n">
        <f aca="false">IFERROR((LEN(T$6)-LEN(SUBSTITUTE(T$6,$B51,"")))/LEN($B51),0)</f>
        <v>0</v>
      </c>
      <c r="U51" s="42" t="n">
        <f aca="false">IFERROR((LEN(U$6)-LEN(SUBSTITUTE(U$6,$B51,"")))/LEN($B51),0)</f>
        <v>0</v>
      </c>
      <c r="V51" s="42" t="n">
        <f aca="false">IFERROR((LEN(V$6)-LEN(SUBSTITUTE(V$6,$B51,"")))/LEN($B51),0)</f>
        <v>0</v>
      </c>
    </row>
    <row r="52" customFormat="false" ht="13.5" hidden="false" customHeight="true" outlineLevel="0" collapsed="false">
      <c r="B52" s="39" t="s">
        <v>513</v>
      </c>
      <c r="C52" s="40" t="s">
        <v>511</v>
      </c>
      <c r="D52" s="41" t="n">
        <f aca="false">IFERROR((LEN($D$5)-LEN(SUBSTITUTE($D$5,$B52,"")))/LEN($B52),0)</f>
        <v>0</v>
      </c>
      <c r="E52" s="42" t="n">
        <f aca="false">IFERROR((LEN(E$6)-LEN(SUBSTITUTE(E$6,$B52,"")))/LEN($B52),0)</f>
        <v>1</v>
      </c>
      <c r="F52" s="42" t="n">
        <f aca="false">IFERROR((LEN(F$6)-LEN(SUBSTITUTE(F$6,$B52,"")))/LEN($B52),0)</f>
        <v>0</v>
      </c>
      <c r="G52" s="42" t="n">
        <f aca="false">IFERROR((LEN(G$6)-LEN(SUBSTITUTE(G$6,$B52,"")))/LEN($B52),0)</f>
        <v>0</v>
      </c>
      <c r="H52" s="42" t="n">
        <f aca="false">IFERROR((LEN(H$6)-LEN(SUBSTITUTE(H$6,$B52,"")))/LEN($B52),0)</f>
        <v>1</v>
      </c>
      <c r="I52" s="42" t="n">
        <f aca="false">IFERROR((LEN(I$6)-LEN(SUBSTITUTE(I$6,$B52,"")))/LEN($B52),0)</f>
        <v>0</v>
      </c>
      <c r="J52" s="42" t="n">
        <f aca="false">IFERROR((LEN(J$6)-LEN(SUBSTITUTE(J$6,$B52,"")))/LEN($B52),0)</f>
        <v>0</v>
      </c>
      <c r="K52" s="42" t="n">
        <f aca="false">IFERROR((LEN(K$6)-LEN(SUBSTITUTE(K$6,$B52,"")))/LEN($B52),0)</f>
        <v>0</v>
      </c>
      <c r="L52" s="42" t="n">
        <f aca="false">IFERROR((LEN(L$6)-LEN(SUBSTITUTE(L$6,$B52,"")))/LEN($B52),0)</f>
        <v>0</v>
      </c>
      <c r="M52" s="42" t="n">
        <f aca="false">IFERROR((LEN(M$6)-LEN(SUBSTITUTE(M$6,$B52,"")))/LEN($B52),0)</f>
        <v>0</v>
      </c>
      <c r="N52" s="42" t="n">
        <f aca="false">IFERROR((LEN(N$6)-LEN(SUBSTITUTE(N$6,$B52,"")))/LEN($B52),0)</f>
        <v>0</v>
      </c>
      <c r="O52" s="42" t="n">
        <f aca="false">IFERROR((LEN(O$6)-LEN(SUBSTITUTE(O$6,$B52,"")))/LEN($B52),0)</f>
        <v>0</v>
      </c>
      <c r="P52" s="42" t="n">
        <f aca="false">IFERROR((LEN(P$6)-LEN(SUBSTITUTE(P$6,$B52,"")))/LEN($B52),0)</f>
        <v>0</v>
      </c>
      <c r="Q52" s="42" t="n">
        <f aca="false">IFERROR((LEN(Q$6)-LEN(SUBSTITUTE(Q$6,$B52,"")))/LEN($B52),0)</f>
        <v>1</v>
      </c>
      <c r="R52" s="42" t="n">
        <f aca="false">IFERROR((LEN(R$6)-LEN(SUBSTITUTE(R$6,$B52,"")))/LEN($B52),0)</f>
        <v>0</v>
      </c>
      <c r="S52" s="42" t="n">
        <f aca="false">IFERROR((LEN(S$6)-LEN(SUBSTITUTE(S$6,$B52,"")))/LEN($B52),0)</f>
        <v>0</v>
      </c>
      <c r="T52" s="42" t="n">
        <f aca="false">IFERROR((LEN(T$6)-LEN(SUBSTITUTE(T$6,$B52,"")))/LEN($B52),0)</f>
        <v>0</v>
      </c>
      <c r="U52" s="42" t="n">
        <f aca="false">IFERROR((LEN(U$6)-LEN(SUBSTITUTE(U$6,$B52,"")))/LEN($B52),0)</f>
        <v>0</v>
      </c>
      <c r="V52" s="42" t="n">
        <f aca="false">IFERROR((LEN(V$6)-LEN(SUBSTITUTE(V$6,$B52,"")))/LEN($B52),0)</f>
        <v>0</v>
      </c>
    </row>
    <row r="53" customFormat="false" ht="13.5" hidden="false" customHeight="true" outlineLevel="0" collapsed="false">
      <c r="B53" s="39" t="s">
        <v>514</v>
      </c>
      <c r="C53" s="40" t="s">
        <v>511</v>
      </c>
      <c r="D53" s="41" t="n">
        <f aca="false">IFERROR((LEN($D$5)-LEN(SUBSTITUTE($D$5,$B53,"")))/LEN($B53),0)</f>
        <v>0</v>
      </c>
      <c r="E53" s="42" t="n">
        <f aca="false">IFERROR((LEN(E$6)-LEN(SUBSTITUTE(E$6,$B53,"")))/LEN($B53),0)</f>
        <v>1</v>
      </c>
      <c r="F53" s="42" t="n">
        <f aca="false">IFERROR((LEN(F$6)-LEN(SUBSTITUTE(F$6,$B53,"")))/LEN($B53),0)</f>
        <v>0</v>
      </c>
      <c r="G53" s="42" t="n">
        <f aca="false">IFERROR((LEN(G$6)-LEN(SUBSTITUTE(G$6,$B53,"")))/LEN($B53),0)</f>
        <v>0</v>
      </c>
      <c r="H53" s="42" t="n">
        <f aca="false">IFERROR((LEN(H$6)-LEN(SUBSTITUTE(H$6,$B53,"")))/LEN($B53),0)</f>
        <v>0</v>
      </c>
      <c r="I53" s="42" t="n">
        <f aca="false">IFERROR((LEN(I$6)-LEN(SUBSTITUTE(I$6,$B53,"")))/LEN($B53),0)</f>
        <v>0</v>
      </c>
      <c r="J53" s="42" t="n">
        <f aca="false">IFERROR((LEN(J$6)-LEN(SUBSTITUTE(J$6,$B53,"")))/LEN($B53),0)</f>
        <v>0</v>
      </c>
      <c r="K53" s="42" t="n">
        <f aca="false">IFERROR((LEN(K$6)-LEN(SUBSTITUTE(K$6,$B53,"")))/LEN($B53),0)</f>
        <v>1</v>
      </c>
      <c r="L53" s="42" t="n">
        <f aca="false">IFERROR((LEN(L$6)-LEN(SUBSTITUTE(L$6,$B53,"")))/LEN($B53),0)</f>
        <v>0</v>
      </c>
      <c r="M53" s="42" t="n">
        <f aca="false">IFERROR((LEN(M$6)-LEN(SUBSTITUTE(M$6,$B53,"")))/LEN($B53),0)</f>
        <v>0</v>
      </c>
      <c r="N53" s="42" t="n">
        <f aca="false">IFERROR((LEN(N$6)-LEN(SUBSTITUTE(N$6,$B53,"")))/LEN($B53),0)</f>
        <v>0</v>
      </c>
      <c r="O53" s="42" t="n">
        <f aca="false">IFERROR((LEN(O$6)-LEN(SUBSTITUTE(O$6,$B53,"")))/LEN($B53),0)</f>
        <v>0</v>
      </c>
      <c r="P53" s="42" t="n">
        <f aca="false">IFERROR((LEN(P$6)-LEN(SUBSTITUTE(P$6,$B53,"")))/LEN($B53),0)</f>
        <v>0</v>
      </c>
      <c r="Q53" s="42" t="n">
        <f aca="false">IFERROR((LEN(Q$6)-LEN(SUBSTITUTE(Q$6,$B53,"")))/LEN($B53),0)</f>
        <v>0</v>
      </c>
      <c r="R53" s="42" t="n">
        <f aca="false">IFERROR((LEN(R$6)-LEN(SUBSTITUTE(R$6,$B53,"")))/LEN($B53),0)</f>
        <v>1</v>
      </c>
      <c r="S53" s="42" t="n">
        <f aca="false">IFERROR((LEN(S$6)-LEN(SUBSTITUTE(S$6,$B53,"")))/LEN($B53),0)</f>
        <v>0</v>
      </c>
      <c r="T53" s="42" t="n">
        <f aca="false">IFERROR((LEN(T$6)-LEN(SUBSTITUTE(T$6,$B53,"")))/LEN($B53),0)</f>
        <v>1</v>
      </c>
      <c r="U53" s="42" t="n">
        <f aca="false">IFERROR((LEN(U$6)-LEN(SUBSTITUTE(U$6,$B53,"")))/LEN($B53),0)</f>
        <v>0</v>
      </c>
      <c r="V53" s="42" t="n">
        <f aca="false">IFERROR((LEN(V$6)-LEN(SUBSTITUTE(V$6,$B53,"")))/LEN($B53),0)</f>
        <v>0</v>
      </c>
    </row>
    <row r="54" customFormat="false" ht="13.5" hidden="false" customHeight="true" outlineLevel="0" collapsed="false">
      <c r="B54" s="39" t="s">
        <v>515</v>
      </c>
      <c r="C54" s="40" t="s">
        <v>511</v>
      </c>
      <c r="D54" s="41" t="n">
        <f aca="false">IFERROR((LEN($D$5)-LEN(SUBSTITUTE($D$5,$B54,"")))/LEN($B54),0)</f>
        <v>0</v>
      </c>
      <c r="E54" s="42" t="n">
        <f aca="false">IFERROR((LEN(E$6)-LEN(SUBSTITUTE(E$6,$B54,"")))/LEN($B54),0)</f>
        <v>0</v>
      </c>
      <c r="F54" s="42" t="n">
        <f aca="false">IFERROR((LEN(F$6)-LEN(SUBSTITUTE(F$6,$B54,"")))/LEN($B54),0)</f>
        <v>0</v>
      </c>
      <c r="G54" s="42" t="n">
        <f aca="false">IFERROR((LEN(G$6)-LEN(SUBSTITUTE(G$6,$B54,"")))/LEN($B54),0)</f>
        <v>0</v>
      </c>
      <c r="H54" s="42" t="n">
        <f aca="false">IFERROR((LEN(H$6)-LEN(SUBSTITUTE(H$6,$B54,"")))/LEN($B54),0)</f>
        <v>0</v>
      </c>
      <c r="I54" s="42" t="n">
        <f aca="false">IFERROR((LEN(I$6)-LEN(SUBSTITUTE(I$6,$B54,"")))/LEN($B54),0)</f>
        <v>0</v>
      </c>
      <c r="J54" s="42" t="n">
        <f aca="false">IFERROR((LEN(J$6)-LEN(SUBSTITUTE(J$6,$B54,"")))/LEN($B54),0)</f>
        <v>0</v>
      </c>
      <c r="K54" s="42" t="n">
        <f aca="false">IFERROR((LEN(K$6)-LEN(SUBSTITUTE(K$6,$B54,"")))/LEN($B54),0)</f>
        <v>0</v>
      </c>
      <c r="L54" s="42" t="n">
        <f aca="false">IFERROR((LEN(L$6)-LEN(SUBSTITUTE(L$6,$B54,"")))/LEN($B54),0)</f>
        <v>0</v>
      </c>
      <c r="M54" s="42" t="n">
        <f aca="false">IFERROR((LEN(M$6)-LEN(SUBSTITUTE(M$6,$B54,"")))/LEN($B54),0)</f>
        <v>0</v>
      </c>
      <c r="N54" s="42" t="n">
        <f aca="false">IFERROR((LEN(N$6)-LEN(SUBSTITUTE(N$6,$B54,"")))/LEN($B54),0)</f>
        <v>0</v>
      </c>
      <c r="O54" s="42" t="n">
        <f aca="false">IFERROR((LEN(O$6)-LEN(SUBSTITUTE(O$6,$B54,"")))/LEN($B54),0)</f>
        <v>0</v>
      </c>
      <c r="P54" s="42" t="n">
        <f aca="false">IFERROR((LEN(P$6)-LEN(SUBSTITUTE(P$6,$B54,"")))/LEN($B54),0)</f>
        <v>0</v>
      </c>
      <c r="Q54" s="42" t="n">
        <f aca="false">IFERROR((LEN(Q$6)-LEN(SUBSTITUTE(Q$6,$B54,"")))/LEN($B54),0)</f>
        <v>0</v>
      </c>
      <c r="R54" s="42" t="n">
        <f aca="false">IFERROR((LEN(R$6)-LEN(SUBSTITUTE(R$6,$B54,"")))/LEN($B54),0)</f>
        <v>0</v>
      </c>
      <c r="S54" s="42" t="n">
        <f aca="false">IFERROR((LEN(S$6)-LEN(SUBSTITUTE(S$6,$B54,"")))/LEN($B54),0)</f>
        <v>0</v>
      </c>
      <c r="T54" s="42" t="n">
        <f aca="false">IFERROR((LEN(T$6)-LEN(SUBSTITUTE(T$6,$B54,"")))/LEN($B54),0)</f>
        <v>0</v>
      </c>
      <c r="U54" s="42" t="n">
        <f aca="false">IFERROR((LEN(U$6)-LEN(SUBSTITUTE(U$6,$B54,"")))/LEN($B54),0)</f>
        <v>0</v>
      </c>
      <c r="V54" s="42" t="n">
        <f aca="false">IFERROR((LEN(V$6)-LEN(SUBSTITUTE(V$6,$B54,"")))/LEN($B54),0)</f>
        <v>0</v>
      </c>
    </row>
    <row r="55" customFormat="false" ht="13.5" hidden="false" customHeight="true" outlineLevel="0" collapsed="false">
      <c r="B55" s="39" t="s">
        <v>516</v>
      </c>
      <c r="C55" s="40" t="s">
        <v>511</v>
      </c>
      <c r="D55" s="41" t="n">
        <f aca="false">IFERROR((LEN($D$5)-LEN(SUBSTITUTE($D$5,$B55,"")))/LEN($B55),0)</f>
        <v>0</v>
      </c>
      <c r="E55" s="42" t="n">
        <f aca="false">IFERROR((LEN(E$6)-LEN(SUBSTITUTE(E$6,$B55,"")))/LEN($B55),0)</f>
        <v>0</v>
      </c>
      <c r="F55" s="42" t="n">
        <f aca="false">IFERROR((LEN(F$6)-LEN(SUBSTITUTE(F$6,$B55,"")))/LEN($B55),0)</f>
        <v>0</v>
      </c>
      <c r="G55" s="42" t="n">
        <f aca="false">IFERROR((LEN(G$6)-LEN(SUBSTITUTE(G$6,$B55,"")))/LEN($B55),0)</f>
        <v>0</v>
      </c>
      <c r="H55" s="42" t="n">
        <f aca="false">IFERROR((LEN(H$6)-LEN(SUBSTITUTE(H$6,$B55,"")))/LEN($B55),0)</f>
        <v>0</v>
      </c>
      <c r="I55" s="42" t="n">
        <f aca="false">IFERROR((LEN(I$6)-LEN(SUBSTITUTE(I$6,$B55,"")))/LEN($B55),0)</f>
        <v>0</v>
      </c>
      <c r="J55" s="42" t="n">
        <f aca="false">IFERROR((LEN(J$6)-LEN(SUBSTITUTE(J$6,$B55,"")))/LEN($B55),0)</f>
        <v>0</v>
      </c>
      <c r="K55" s="42" t="n">
        <f aca="false">IFERROR((LEN(K$6)-LEN(SUBSTITUTE(K$6,$B55,"")))/LEN($B55),0)</f>
        <v>0</v>
      </c>
      <c r="L55" s="42" t="n">
        <f aca="false">IFERROR((LEN(L$6)-LEN(SUBSTITUTE(L$6,$B55,"")))/LEN($B55),0)</f>
        <v>0</v>
      </c>
      <c r="M55" s="42" t="n">
        <f aca="false">IFERROR((LEN(M$6)-LEN(SUBSTITUTE(M$6,$B55,"")))/LEN($B55),0)</f>
        <v>0</v>
      </c>
      <c r="N55" s="42" t="n">
        <f aca="false">IFERROR((LEN(N$6)-LEN(SUBSTITUTE(N$6,$B55,"")))/LEN($B55),0)</f>
        <v>0</v>
      </c>
      <c r="O55" s="42" t="n">
        <f aca="false">IFERROR((LEN(O$6)-LEN(SUBSTITUTE(O$6,$B55,"")))/LEN($B55),0)</f>
        <v>0</v>
      </c>
      <c r="P55" s="42" t="n">
        <f aca="false">IFERROR((LEN(P$6)-LEN(SUBSTITUTE(P$6,$B55,"")))/LEN($B55),0)</f>
        <v>0</v>
      </c>
      <c r="Q55" s="42" t="n">
        <f aca="false">IFERROR((LEN(Q$6)-LEN(SUBSTITUTE(Q$6,$B55,"")))/LEN($B55),0)</f>
        <v>0</v>
      </c>
      <c r="R55" s="42" t="n">
        <f aca="false">IFERROR((LEN(R$6)-LEN(SUBSTITUTE(R$6,$B55,"")))/LEN($B55),0)</f>
        <v>1</v>
      </c>
      <c r="S55" s="42" t="n">
        <f aca="false">IFERROR((LEN(S$6)-LEN(SUBSTITUTE(S$6,$B55,"")))/LEN($B55),0)</f>
        <v>0</v>
      </c>
      <c r="T55" s="42" t="n">
        <f aca="false">IFERROR((LEN(T$6)-LEN(SUBSTITUTE(T$6,$B55,"")))/LEN($B55),0)</f>
        <v>1</v>
      </c>
      <c r="U55" s="42" t="n">
        <f aca="false">IFERROR((LEN(U$6)-LEN(SUBSTITUTE(U$6,$B55,"")))/LEN($B55),0)</f>
        <v>1</v>
      </c>
      <c r="V55" s="42" t="n">
        <f aca="false">IFERROR((LEN(V$6)-LEN(SUBSTITUTE(V$6,$B55,"")))/LEN($B55),0)</f>
        <v>1</v>
      </c>
    </row>
    <row r="56" customFormat="false" ht="13.5" hidden="false" customHeight="true" outlineLevel="0" collapsed="false">
      <c r="B56" s="39" t="s">
        <v>517</v>
      </c>
      <c r="C56" s="40" t="s">
        <v>511</v>
      </c>
      <c r="D56" s="41" t="n">
        <f aca="false">IFERROR((LEN($D$5)-LEN(SUBSTITUTE($D$5,$B56,"")))/LEN($B56),0)</f>
        <v>0</v>
      </c>
      <c r="E56" s="42" t="n">
        <f aca="false">IFERROR((LEN(E$6)-LEN(SUBSTITUTE(E$6,$B56,"")))/LEN($B56),0)</f>
        <v>0</v>
      </c>
      <c r="F56" s="42" t="n">
        <f aca="false">IFERROR((LEN(F$6)-LEN(SUBSTITUTE(F$6,$B56,"")))/LEN($B56),0)</f>
        <v>0</v>
      </c>
      <c r="G56" s="42" t="n">
        <f aca="false">IFERROR((LEN(G$6)-LEN(SUBSTITUTE(G$6,$B56,"")))/LEN($B56),0)</f>
        <v>0</v>
      </c>
      <c r="H56" s="42" t="n">
        <f aca="false">IFERROR((LEN(H$6)-LEN(SUBSTITUTE(H$6,$B56,"")))/LEN($B56),0)</f>
        <v>0</v>
      </c>
      <c r="I56" s="42" t="n">
        <f aca="false">IFERROR((LEN(I$6)-LEN(SUBSTITUTE(I$6,$B56,"")))/LEN($B56),0)</f>
        <v>1</v>
      </c>
      <c r="J56" s="42" t="n">
        <f aca="false">IFERROR((LEN(J$6)-LEN(SUBSTITUTE(J$6,$B56,"")))/LEN($B56),0)</f>
        <v>0</v>
      </c>
      <c r="K56" s="42" t="n">
        <f aca="false">IFERROR((LEN(K$6)-LEN(SUBSTITUTE(K$6,$B56,"")))/LEN($B56),0)</f>
        <v>0</v>
      </c>
      <c r="L56" s="42" t="n">
        <f aca="false">IFERROR((LEN(L$6)-LEN(SUBSTITUTE(L$6,$B56,"")))/LEN($B56),0)</f>
        <v>0</v>
      </c>
      <c r="M56" s="42" t="n">
        <f aca="false">IFERROR((LEN(M$6)-LEN(SUBSTITUTE(M$6,$B56,"")))/LEN($B56),0)</f>
        <v>0</v>
      </c>
      <c r="N56" s="42" t="n">
        <f aca="false">IFERROR((LEN(N$6)-LEN(SUBSTITUTE(N$6,$B56,"")))/LEN($B56),0)</f>
        <v>0</v>
      </c>
      <c r="O56" s="42" t="n">
        <f aca="false">IFERROR((LEN(O$6)-LEN(SUBSTITUTE(O$6,$B56,"")))/LEN($B56),0)</f>
        <v>0</v>
      </c>
      <c r="P56" s="42" t="n">
        <f aca="false">IFERROR((LEN(P$6)-LEN(SUBSTITUTE(P$6,$B56,"")))/LEN($B56),0)</f>
        <v>0</v>
      </c>
      <c r="Q56" s="42" t="n">
        <f aca="false">IFERROR((LEN(Q$6)-LEN(SUBSTITUTE(Q$6,$B56,"")))/LEN($B56),0)</f>
        <v>1</v>
      </c>
      <c r="R56" s="42" t="n">
        <f aca="false">IFERROR((LEN(R$6)-LEN(SUBSTITUTE(R$6,$B56,"")))/LEN($B56),0)</f>
        <v>0</v>
      </c>
      <c r="S56" s="42" t="n">
        <f aca="false">IFERROR((LEN(S$6)-LEN(SUBSTITUTE(S$6,$B56,"")))/LEN($B56),0)</f>
        <v>1</v>
      </c>
      <c r="T56" s="42" t="n">
        <f aca="false">IFERROR((LEN(T$6)-LEN(SUBSTITUTE(T$6,$B56,"")))/LEN($B56),0)</f>
        <v>0</v>
      </c>
      <c r="U56" s="42" t="n">
        <f aca="false">IFERROR((LEN(U$6)-LEN(SUBSTITUTE(U$6,$B56,"")))/LEN($B56),0)</f>
        <v>1</v>
      </c>
      <c r="V56" s="42" t="n">
        <f aca="false">IFERROR((LEN(V$6)-LEN(SUBSTITUTE(V$6,$B56,"")))/LEN($B56),0)</f>
        <v>0</v>
      </c>
    </row>
    <row r="57" customFormat="false" ht="13.5" hidden="false" customHeight="true" outlineLevel="0" collapsed="false">
      <c r="B57" s="39" t="s">
        <v>518</v>
      </c>
      <c r="C57" s="40" t="s">
        <v>519</v>
      </c>
      <c r="D57" s="41" t="n">
        <f aca="false">IFERROR((LEN($D$5)-LEN(SUBSTITUTE($D$5,$B57,"")))/LEN($B57),0)</f>
        <v>0</v>
      </c>
      <c r="E57" s="42" t="n">
        <f aca="false">IFERROR((LEN(E$6)-LEN(SUBSTITUTE(E$6,$B57,"")))/LEN($B57),0)</f>
        <v>1</v>
      </c>
      <c r="F57" s="42" t="n">
        <f aca="false">IFERROR((LEN(F$6)-LEN(SUBSTITUTE(F$6,$B57,"")))/LEN($B57),0)</f>
        <v>0</v>
      </c>
      <c r="G57" s="42" t="n">
        <f aca="false">IFERROR((LEN(G$6)-LEN(SUBSTITUTE(G$6,$B57,"")))/LEN($B57),0)</f>
        <v>1</v>
      </c>
      <c r="H57" s="42" t="n">
        <f aca="false">IFERROR((LEN(H$6)-LEN(SUBSTITUTE(H$6,$B57,"")))/LEN($B57),0)</f>
        <v>0</v>
      </c>
      <c r="I57" s="42" t="n">
        <f aca="false">IFERROR((LEN(I$6)-LEN(SUBSTITUTE(I$6,$B57,"")))/LEN($B57),0)</f>
        <v>0</v>
      </c>
      <c r="J57" s="42" t="n">
        <f aca="false">IFERROR((LEN(J$6)-LEN(SUBSTITUTE(J$6,$B57,"")))/LEN($B57),0)</f>
        <v>1</v>
      </c>
      <c r="K57" s="42" t="n">
        <f aca="false">IFERROR((LEN(K$6)-LEN(SUBSTITUTE(K$6,$B57,"")))/LEN($B57),0)</f>
        <v>0</v>
      </c>
      <c r="L57" s="42" t="n">
        <f aca="false">IFERROR((LEN(L$6)-LEN(SUBSTITUTE(L$6,$B57,"")))/LEN($B57),0)</f>
        <v>0</v>
      </c>
      <c r="M57" s="42" t="n">
        <f aca="false">IFERROR((LEN(M$6)-LEN(SUBSTITUTE(M$6,$B57,"")))/LEN($B57),0)</f>
        <v>1</v>
      </c>
      <c r="N57" s="42" t="n">
        <f aca="false">IFERROR((LEN(N$6)-LEN(SUBSTITUTE(N$6,$B57,"")))/LEN($B57),0)</f>
        <v>1</v>
      </c>
      <c r="O57" s="42" t="n">
        <f aca="false">IFERROR((LEN(O$6)-LEN(SUBSTITUTE(O$6,$B57,"")))/LEN($B57),0)</f>
        <v>0</v>
      </c>
      <c r="P57" s="42" t="n">
        <f aca="false">IFERROR((LEN(P$6)-LEN(SUBSTITUTE(P$6,$B57,"")))/LEN($B57),0)</f>
        <v>0</v>
      </c>
      <c r="Q57" s="42" t="n">
        <f aca="false">IFERROR((LEN(Q$6)-LEN(SUBSTITUTE(Q$6,$B57,"")))/LEN($B57),0)</f>
        <v>0</v>
      </c>
      <c r="R57" s="42" t="n">
        <f aca="false">IFERROR((LEN(R$6)-LEN(SUBSTITUTE(R$6,$B57,"")))/LEN($B57),0)</f>
        <v>0</v>
      </c>
      <c r="S57" s="42" t="n">
        <f aca="false">IFERROR((LEN(S$6)-LEN(SUBSTITUTE(S$6,$B57,"")))/LEN($B57),0)</f>
        <v>0</v>
      </c>
      <c r="T57" s="42" t="n">
        <f aca="false">IFERROR((LEN(T$6)-LEN(SUBSTITUTE(T$6,$B57,"")))/LEN($B57),0)</f>
        <v>0</v>
      </c>
      <c r="U57" s="42" t="n">
        <f aca="false">IFERROR((LEN(U$6)-LEN(SUBSTITUTE(U$6,$B57,"")))/LEN($B57),0)</f>
        <v>0</v>
      </c>
      <c r="V57" s="42" t="n">
        <f aca="false">IFERROR((LEN(V$6)-LEN(SUBSTITUTE(V$6,$B57,"")))/LEN($B57),0)</f>
        <v>0</v>
      </c>
    </row>
    <row r="58" customFormat="false" ht="13.5" hidden="false" customHeight="true" outlineLevel="0" collapsed="false">
      <c r="B58" s="39" t="s">
        <v>520</v>
      </c>
      <c r="C58" s="40" t="s">
        <v>519</v>
      </c>
      <c r="D58" s="41" t="n">
        <f aca="false">IFERROR((LEN($D$5)-LEN(SUBSTITUTE($D$5,$B58,"")))/LEN($B58),0)</f>
        <v>0</v>
      </c>
      <c r="E58" s="42" t="n">
        <f aca="false">IFERROR((LEN(E$6)-LEN(SUBSTITUTE(E$6,$B58,"")))/LEN($B58),0)</f>
        <v>1</v>
      </c>
      <c r="F58" s="42" t="n">
        <f aca="false">IFERROR((LEN(F$6)-LEN(SUBSTITUTE(F$6,$B58,"")))/LEN($B58),0)</f>
        <v>0</v>
      </c>
      <c r="G58" s="42" t="n">
        <f aca="false">IFERROR((LEN(G$6)-LEN(SUBSTITUTE(G$6,$B58,"")))/LEN($B58),0)</f>
        <v>1</v>
      </c>
      <c r="H58" s="42" t="n">
        <f aca="false">IFERROR((LEN(H$6)-LEN(SUBSTITUTE(H$6,$B58,"")))/LEN($B58),0)</f>
        <v>0</v>
      </c>
      <c r="I58" s="42" t="n">
        <f aca="false">IFERROR((LEN(I$6)-LEN(SUBSTITUTE(I$6,$B58,"")))/LEN($B58),0)</f>
        <v>1</v>
      </c>
      <c r="J58" s="42" t="n">
        <f aca="false">IFERROR((LEN(J$6)-LEN(SUBSTITUTE(J$6,$B58,"")))/LEN($B58),0)</f>
        <v>0</v>
      </c>
      <c r="K58" s="42" t="n">
        <f aca="false">IFERROR((LEN(K$6)-LEN(SUBSTITUTE(K$6,$B58,"")))/LEN($B58),0)</f>
        <v>1</v>
      </c>
      <c r="L58" s="42" t="n">
        <f aca="false">IFERROR((LEN(L$6)-LEN(SUBSTITUTE(L$6,$B58,"")))/LEN($B58),0)</f>
        <v>0</v>
      </c>
      <c r="M58" s="42" t="n">
        <f aca="false">IFERROR((LEN(M$6)-LEN(SUBSTITUTE(M$6,$B58,"")))/LEN($B58),0)</f>
        <v>1</v>
      </c>
      <c r="N58" s="42" t="n">
        <f aca="false">IFERROR((LEN(N$6)-LEN(SUBSTITUTE(N$6,$B58,"")))/LEN($B58),0)</f>
        <v>0</v>
      </c>
      <c r="O58" s="42" t="n">
        <f aca="false">IFERROR((LEN(O$6)-LEN(SUBSTITUTE(O$6,$B58,"")))/LEN($B58),0)</f>
        <v>0</v>
      </c>
      <c r="P58" s="42" t="n">
        <f aca="false">IFERROR((LEN(P$6)-LEN(SUBSTITUTE(P$6,$B58,"")))/LEN($B58),0)</f>
        <v>0</v>
      </c>
      <c r="Q58" s="42" t="n">
        <f aca="false">IFERROR((LEN(Q$6)-LEN(SUBSTITUTE(Q$6,$B58,"")))/LEN($B58),0)</f>
        <v>0</v>
      </c>
      <c r="R58" s="42" t="n">
        <f aca="false">IFERROR((LEN(R$6)-LEN(SUBSTITUTE(R$6,$B58,"")))/LEN($B58),0)</f>
        <v>0</v>
      </c>
      <c r="S58" s="42" t="n">
        <f aca="false">IFERROR((LEN(S$6)-LEN(SUBSTITUTE(S$6,$B58,"")))/LEN($B58),0)</f>
        <v>0</v>
      </c>
      <c r="T58" s="42" t="n">
        <f aca="false">IFERROR((LEN(T$6)-LEN(SUBSTITUTE(T$6,$B58,"")))/LEN($B58),0)</f>
        <v>0</v>
      </c>
      <c r="U58" s="42" t="n">
        <f aca="false">IFERROR((LEN(U$6)-LEN(SUBSTITUTE(U$6,$B58,"")))/LEN($B58),0)</f>
        <v>0</v>
      </c>
      <c r="V58" s="42" t="n">
        <f aca="false">IFERROR((LEN(V$6)-LEN(SUBSTITUTE(V$6,$B58,"")))/LEN($B58),0)</f>
        <v>0</v>
      </c>
    </row>
    <row r="59" customFormat="false" ht="13.5" hidden="false" customHeight="true" outlineLevel="0" collapsed="false">
      <c r="B59" s="39" t="s">
        <v>521</v>
      </c>
      <c r="C59" s="40" t="s">
        <v>519</v>
      </c>
      <c r="D59" s="41" t="n">
        <f aca="false">IFERROR((LEN($D$5)-LEN(SUBSTITUTE($D$5,$B59,"")))/LEN($B59),0)</f>
        <v>0</v>
      </c>
      <c r="E59" s="42" t="n">
        <f aca="false">IFERROR((LEN(E$6)-LEN(SUBSTITUTE(E$6,$B59,"")))/LEN($B59),0)</f>
        <v>1</v>
      </c>
      <c r="F59" s="42" t="n">
        <f aca="false">IFERROR((LEN(F$6)-LEN(SUBSTITUTE(F$6,$B59,"")))/LEN($B59),0)</f>
        <v>1</v>
      </c>
      <c r="G59" s="42" t="n">
        <f aca="false">IFERROR((LEN(G$6)-LEN(SUBSTITUTE(G$6,$B59,"")))/LEN($B59),0)</f>
        <v>0</v>
      </c>
      <c r="H59" s="42" t="n">
        <f aca="false">IFERROR((LEN(H$6)-LEN(SUBSTITUTE(H$6,$B59,"")))/LEN($B59),0)</f>
        <v>1</v>
      </c>
      <c r="I59" s="42" t="n">
        <f aca="false">IFERROR((LEN(I$6)-LEN(SUBSTITUTE(I$6,$B59,"")))/LEN($B59),0)</f>
        <v>1</v>
      </c>
      <c r="J59" s="42" t="n">
        <f aca="false">IFERROR((LEN(J$6)-LEN(SUBSTITUTE(J$6,$B59,"")))/LEN($B59),0)</f>
        <v>0</v>
      </c>
      <c r="K59" s="42" t="n">
        <f aca="false">IFERROR((LEN(K$6)-LEN(SUBSTITUTE(K$6,$B59,"")))/LEN($B59),0)</f>
        <v>0</v>
      </c>
      <c r="L59" s="42" t="n">
        <f aca="false">IFERROR((LEN(L$6)-LEN(SUBSTITUTE(L$6,$B59,"")))/LEN($B59),0)</f>
        <v>0</v>
      </c>
      <c r="M59" s="42" t="n">
        <f aca="false">IFERROR((LEN(M$6)-LEN(SUBSTITUTE(M$6,$B59,"")))/LEN($B59),0)</f>
        <v>1</v>
      </c>
      <c r="N59" s="42" t="n">
        <f aca="false">IFERROR((LEN(N$6)-LEN(SUBSTITUTE(N$6,$B59,"")))/LEN($B59),0)</f>
        <v>0</v>
      </c>
      <c r="O59" s="42" t="n">
        <f aca="false">IFERROR((LEN(O$6)-LEN(SUBSTITUTE(O$6,$B59,"")))/LEN($B59),0)</f>
        <v>0</v>
      </c>
      <c r="P59" s="42" t="n">
        <f aca="false">IFERROR((LEN(P$6)-LEN(SUBSTITUTE(P$6,$B59,"")))/LEN($B59),0)</f>
        <v>0</v>
      </c>
      <c r="Q59" s="42" t="n">
        <f aca="false">IFERROR((LEN(Q$6)-LEN(SUBSTITUTE(Q$6,$B59,"")))/LEN($B59),0)</f>
        <v>0</v>
      </c>
      <c r="R59" s="42" t="n">
        <f aca="false">IFERROR((LEN(R$6)-LEN(SUBSTITUTE(R$6,$B59,"")))/LEN($B59),0)</f>
        <v>1</v>
      </c>
      <c r="S59" s="42" t="n">
        <f aca="false">IFERROR((LEN(S$6)-LEN(SUBSTITUTE(S$6,$B59,"")))/LEN($B59),0)</f>
        <v>0</v>
      </c>
      <c r="T59" s="42" t="n">
        <f aca="false">IFERROR((LEN(T$6)-LEN(SUBSTITUTE(T$6,$B59,"")))/LEN($B59),0)</f>
        <v>0</v>
      </c>
      <c r="U59" s="42" t="n">
        <f aca="false">IFERROR((LEN(U$6)-LEN(SUBSTITUTE(U$6,$B59,"")))/LEN($B59),0)</f>
        <v>0</v>
      </c>
      <c r="V59" s="42" t="n">
        <f aca="false">IFERROR((LEN(V$6)-LEN(SUBSTITUTE(V$6,$B59,"")))/LEN($B59),0)</f>
        <v>0</v>
      </c>
    </row>
    <row r="60" customFormat="false" ht="13.5" hidden="false" customHeight="true" outlineLevel="0" collapsed="false">
      <c r="B60" s="39" t="s">
        <v>522</v>
      </c>
      <c r="C60" s="40" t="s">
        <v>519</v>
      </c>
      <c r="D60" s="41" t="n">
        <f aca="false">IFERROR((LEN($D$5)-LEN(SUBSTITUTE($D$5,$B60,"")))/LEN($B60),0)</f>
        <v>0</v>
      </c>
      <c r="E60" s="42" t="n">
        <f aca="false">IFERROR((LEN(E$6)-LEN(SUBSTITUTE(E$6,$B60,"")))/LEN($B60),0)</f>
        <v>0</v>
      </c>
      <c r="F60" s="42" t="n">
        <f aca="false">IFERROR((LEN(F$6)-LEN(SUBSTITUTE(F$6,$B60,"")))/LEN($B60),0)</f>
        <v>0</v>
      </c>
      <c r="G60" s="42" t="n">
        <f aca="false">IFERROR((LEN(G$6)-LEN(SUBSTITUTE(G$6,$B60,"")))/LEN($B60),0)</f>
        <v>0</v>
      </c>
      <c r="H60" s="42" t="n">
        <f aca="false">IFERROR((LEN(H$6)-LEN(SUBSTITUTE(H$6,$B60,"")))/LEN($B60),0)</f>
        <v>0</v>
      </c>
      <c r="I60" s="42" t="n">
        <f aca="false">IFERROR((LEN(I$6)-LEN(SUBSTITUTE(I$6,$B60,"")))/LEN($B60),0)</f>
        <v>0</v>
      </c>
      <c r="J60" s="42" t="n">
        <f aca="false">IFERROR((LEN(J$6)-LEN(SUBSTITUTE(J$6,$B60,"")))/LEN($B60),0)</f>
        <v>0</v>
      </c>
      <c r="K60" s="42" t="n">
        <f aca="false">IFERROR((LEN(K$6)-LEN(SUBSTITUTE(K$6,$B60,"")))/LEN($B60),0)</f>
        <v>0</v>
      </c>
      <c r="L60" s="42" t="n">
        <f aca="false">IFERROR((LEN(L$6)-LEN(SUBSTITUTE(L$6,$B60,"")))/LEN($B60),0)</f>
        <v>0</v>
      </c>
      <c r="M60" s="42" t="n">
        <f aca="false">IFERROR((LEN(M$6)-LEN(SUBSTITUTE(M$6,$B60,"")))/LEN($B60),0)</f>
        <v>0</v>
      </c>
      <c r="N60" s="42" t="n">
        <f aca="false">IFERROR((LEN(N$6)-LEN(SUBSTITUTE(N$6,$B60,"")))/LEN($B60),0)</f>
        <v>0</v>
      </c>
      <c r="O60" s="42" t="n">
        <f aca="false">IFERROR((LEN(O$6)-LEN(SUBSTITUTE(O$6,$B60,"")))/LEN($B60),0)</f>
        <v>0</v>
      </c>
      <c r="P60" s="42" t="n">
        <f aca="false">IFERROR((LEN(P$6)-LEN(SUBSTITUTE(P$6,$B60,"")))/LEN($B60),0)</f>
        <v>0</v>
      </c>
      <c r="Q60" s="42" t="n">
        <f aca="false">IFERROR((LEN(Q$6)-LEN(SUBSTITUTE(Q$6,$B60,"")))/LEN($B60),0)</f>
        <v>1</v>
      </c>
      <c r="R60" s="42" t="n">
        <f aca="false">IFERROR((LEN(R$6)-LEN(SUBSTITUTE(R$6,$B60,"")))/LEN($B60),0)</f>
        <v>0</v>
      </c>
      <c r="S60" s="42" t="n">
        <f aca="false">IFERROR((LEN(S$6)-LEN(SUBSTITUTE(S$6,$B60,"")))/LEN($B60),0)</f>
        <v>1</v>
      </c>
      <c r="T60" s="42" t="n">
        <f aca="false">IFERROR((LEN(T$6)-LEN(SUBSTITUTE(T$6,$B60,"")))/LEN($B60),0)</f>
        <v>0</v>
      </c>
      <c r="U60" s="42" t="n">
        <f aca="false">IFERROR((LEN(U$6)-LEN(SUBSTITUTE(U$6,$B60,"")))/LEN($B60),0)</f>
        <v>1</v>
      </c>
      <c r="V60" s="42" t="n">
        <f aca="false">IFERROR((LEN(V$6)-LEN(SUBSTITUTE(V$6,$B60,"")))/LEN($B60),0)</f>
        <v>2</v>
      </c>
    </row>
    <row r="61" customFormat="false" ht="13.5" hidden="false" customHeight="true" outlineLevel="0" collapsed="false">
      <c r="B61" s="39" t="s">
        <v>523</v>
      </c>
      <c r="C61" s="40" t="s">
        <v>524</v>
      </c>
      <c r="D61" s="41" t="n">
        <f aca="false">IFERROR((LEN($D$5)-LEN(SUBSTITUTE($D$5,$B61,"")))/LEN($B61),0)</f>
        <v>0</v>
      </c>
      <c r="E61" s="42" t="n">
        <f aca="false">IFERROR((LEN(E$6)-LEN(SUBSTITUTE(E$6,$B61,"")))/LEN($B61),0)</f>
        <v>0</v>
      </c>
      <c r="F61" s="42" t="n">
        <f aca="false">IFERROR((LEN(F$6)-LEN(SUBSTITUTE(F$6,$B61,"")))/LEN($B61),0)</f>
        <v>0</v>
      </c>
      <c r="G61" s="42" t="n">
        <f aca="false">IFERROR((LEN(G$6)-LEN(SUBSTITUTE(G$6,$B61,"")))/LEN($B61),0)</f>
        <v>1</v>
      </c>
      <c r="H61" s="42" t="n">
        <f aca="false">IFERROR((LEN(H$6)-LEN(SUBSTITUTE(H$6,$B61,"")))/LEN($B61),0)</f>
        <v>0</v>
      </c>
      <c r="I61" s="42" t="n">
        <f aca="false">IFERROR((LEN(I$6)-LEN(SUBSTITUTE(I$6,$B61,"")))/LEN($B61),0)</f>
        <v>0</v>
      </c>
      <c r="J61" s="42" t="n">
        <f aca="false">IFERROR((LEN(J$6)-LEN(SUBSTITUTE(J$6,$B61,"")))/LEN($B61),0)</f>
        <v>0</v>
      </c>
      <c r="K61" s="42" t="n">
        <f aca="false">IFERROR((LEN(K$6)-LEN(SUBSTITUTE(K$6,$B61,"")))/LEN($B61),0)</f>
        <v>0</v>
      </c>
      <c r="L61" s="42" t="n">
        <f aca="false">IFERROR((LEN(L$6)-LEN(SUBSTITUTE(L$6,$B61,"")))/LEN($B61),0)</f>
        <v>0</v>
      </c>
      <c r="M61" s="42" t="n">
        <f aca="false">IFERROR((LEN(M$6)-LEN(SUBSTITUTE(M$6,$B61,"")))/LEN($B61),0)</f>
        <v>0</v>
      </c>
      <c r="N61" s="42" t="n">
        <f aca="false">IFERROR((LEN(N$6)-LEN(SUBSTITUTE(N$6,$B61,"")))/LEN($B61),0)</f>
        <v>0</v>
      </c>
      <c r="O61" s="42" t="n">
        <f aca="false">IFERROR((LEN(O$6)-LEN(SUBSTITUTE(O$6,$B61,"")))/LEN($B61),0)</f>
        <v>0</v>
      </c>
      <c r="P61" s="42" t="n">
        <f aca="false">IFERROR((LEN(P$6)-LEN(SUBSTITUTE(P$6,$B61,"")))/LEN($B61),0)</f>
        <v>0</v>
      </c>
      <c r="Q61" s="42" t="n">
        <f aca="false">IFERROR((LEN(Q$6)-LEN(SUBSTITUTE(Q$6,$B61,"")))/LEN($B61),0)</f>
        <v>0</v>
      </c>
      <c r="R61" s="42" t="n">
        <f aca="false">IFERROR((LEN(R$6)-LEN(SUBSTITUTE(R$6,$B61,"")))/LEN($B61),0)</f>
        <v>0</v>
      </c>
      <c r="S61" s="42" t="n">
        <f aca="false">IFERROR((LEN(S$6)-LEN(SUBSTITUTE(S$6,$B61,"")))/LEN($B61),0)</f>
        <v>0</v>
      </c>
      <c r="T61" s="42" t="n">
        <f aca="false">IFERROR((LEN(T$6)-LEN(SUBSTITUTE(T$6,$B61,"")))/LEN($B61),0)</f>
        <v>0</v>
      </c>
      <c r="U61" s="42" t="n">
        <f aca="false">IFERROR((LEN(U$6)-LEN(SUBSTITUTE(U$6,$B61,"")))/LEN($B61),0)</f>
        <v>0</v>
      </c>
      <c r="V61" s="42" t="n">
        <f aca="false">IFERROR((LEN(V$6)-LEN(SUBSTITUTE(V$6,$B61,"")))/LEN($B61),0)</f>
        <v>0</v>
      </c>
    </row>
    <row r="62" customFormat="false" ht="13.5" hidden="false" customHeight="true" outlineLevel="0" collapsed="false">
      <c r="B62" s="39" t="s">
        <v>525</v>
      </c>
      <c r="C62" s="40" t="s">
        <v>524</v>
      </c>
      <c r="D62" s="41" t="n">
        <f aca="false">IFERROR((LEN($D$5)-LEN(SUBSTITUTE($D$5,$B62,"")))/LEN($B62),0)</f>
        <v>0</v>
      </c>
      <c r="E62" s="42" t="n">
        <f aca="false">IFERROR((LEN(E$6)-LEN(SUBSTITUTE(E$6,$B62,"")))/LEN($B62),0)</f>
        <v>0</v>
      </c>
      <c r="F62" s="42" t="n">
        <f aca="false">IFERROR((LEN(F$6)-LEN(SUBSTITUTE(F$6,$B62,"")))/LEN($B62),0)</f>
        <v>0</v>
      </c>
      <c r="G62" s="42" t="n">
        <f aca="false">IFERROR((LEN(G$6)-LEN(SUBSTITUTE(G$6,$B62,"")))/LEN($B62),0)</f>
        <v>1</v>
      </c>
      <c r="H62" s="42" t="n">
        <f aca="false">IFERROR((LEN(H$6)-LEN(SUBSTITUTE(H$6,$B62,"")))/LEN($B62),0)</f>
        <v>0</v>
      </c>
      <c r="I62" s="42" t="n">
        <f aca="false">IFERROR((LEN(I$6)-LEN(SUBSTITUTE(I$6,$B62,"")))/LEN($B62),0)</f>
        <v>0</v>
      </c>
      <c r="J62" s="42" t="n">
        <f aca="false">IFERROR((LEN(J$6)-LEN(SUBSTITUTE(J$6,$B62,"")))/LEN($B62),0)</f>
        <v>0</v>
      </c>
      <c r="K62" s="42" t="n">
        <f aca="false">IFERROR((LEN(K$6)-LEN(SUBSTITUTE(K$6,$B62,"")))/LEN($B62),0)</f>
        <v>0</v>
      </c>
      <c r="L62" s="42" t="n">
        <f aca="false">IFERROR((LEN(L$6)-LEN(SUBSTITUTE(L$6,$B62,"")))/LEN($B62),0)</f>
        <v>0</v>
      </c>
      <c r="M62" s="42" t="n">
        <f aca="false">IFERROR((LEN(M$6)-LEN(SUBSTITUTE(M$6,$B62,"")))/LEN($B62),0)</f>
        <v>0</v>
      </c>
      <c r="N62" s="42" t="n">
        <f aca="false">IFERROR((LEN(N$6)-LEN(SUBSTITUTE(N$6,$B62,"")))/LEN($B62),0)</f>
        <v>0</v>
      </c>
      <c r="O62" s="42" t="n">
        <f aca="false">IFERROR((LEN(O$6)-LEN(SUBSTITUTE(O$6,$B62,"")))/LEN($B62),0)</f>
        <v>0</v>
      </c>
      <c r="P62" s="42" t="n">
        <f aca="false">IFERROR((LEN(P$6)-LEN(SUBSTITUTE(P$6,$B62,"")))/LEN($B62),0)</f>
        <v>0</v>
      </c>
      <c r="Q62" s="42" t="n">
        <f aca="false">IFERROR((LEN(Q$6)-LEN(SUBSTITUTE(Q$6,$B62,"")))/LEN($B62),0)</f>
        <v>0</v>
      </c>
      <c r="R62" s="42" t="n">
        <f aca="false">IFERROR((LEN(R$6)-LEN(SUBSTITUTE(R$6,$B62,"")))/LEN($B62),0)</f>
        <v>0</v>
      </c>
      <c r="S62" s="42" t="n">
        <f aca="false">IFERROR((LEN(S$6)-LEN(SUBSTITUTE(S$6,$B62,"")))/LEN($B62),0)</f>
        <v>0</v>
      </c>
      <c r="T62" s="42" t="n">
        <f aca="false">IFERROR((LEN(T$6)-LEN(SUBSTITUTE(T$6,$B62,"")))/LEN($B62),0)</f>
        <v>0</v>
      </c>
      <c r="U62" s="42" t="n">
        <f aca="false">IFERROR((LEN(U$6)-LEN(SUBSTITUTE(U$6,$B62,"")))/LEN($B62),0)</f>
        <v>0</v>
      </c>
      <c r="V62" s="42" t="n">
        <f aca="false">IFERROR((LEN(V$6)-LEN(SUBSTITUTE(V$6,$B62,"")))/LEN($B62),0)</f>
        <v>0</v>
      </c>
    </row>
    <row r="63" customFormat="false" ht="13.5" hidden="false" customHeight="true" outlineLevel="0" collapsed="false">
      <c r="B63" s="39" t="s">
        <v>526</v>
      </c>
      <c r="C63" s="40" t="s">
        <v>524</v>
      </c>
      <c r="D63" s="41" t="n">
        <f aca="false">IFERROR((LEN($D$5)-LEN(SUBSTITUTE($D$5,$B63,"")))/LEN($B63),0)</f>
        <v>0</v>
      </c>
      <c r="E63" s="42" t="n">
        <f aca="false">IFERROR((LEN(E$6)-LEN(SUBSTITUTE(E$6,$B63,"")))/LEN($B63),0)</f>
        <v>0</v>
      </c>
      <c r="F63" s="42" t="n">
        <f aca="false">IFERROR((LEN(F$6)-LEN(SUBSTITUTE(F$6,$B63,"")))/LEN($B63),0)</f>
        <v>0</v>
      </c>
      <c r="G63" s="42" t="n">
        <f aca="false">IFERROR((LEN(G$6)-LEN(SUBSTITUTE(G$6,$B63,"")))/LEN($B63),0)</f>
        <v>1</v>
      </c>
      <c r="H63" s="42" t="n">
        <f aca="false">IFERROR((LEN(H$6)-LEN(SUBSTITUTE(H$6,$B63,"")))/LEN($B63),0)</f>
        <v>0</v>
      </c>
      <c r="I63" s="42" t="n">
        <f aca="false">IFERROR((LEN(I$6)-LEN(SUBSTITUTE(I$6,$B63,"")))/LEN($B63),0)</f>
        <v>0</v>
      </c>
      <c r="J63" s="42" t="n">
        <f aca="false">IFERROR((LEN(J$6)-LEN(SUBSTITUTE(J$6,$B63,"")))/LEN($B63),0)</f>
        <v>0</v>
      </c>
      <c r="K63" s="42" t="n">
        <f aca="false">IFERROR((LEN(K$6)-LEN(SUBSTITUTE(K$6,$B63,"")))/LEN($B63),0)</f>
        <v>0</v>
      </c>
      <c r="L63" s="42" t="n">
        <f aca="false">IFERROR((LEN(L$6)-LEN(SUBSTITUTE(L$6,$B63,"")))/LEN($B63),0)</f>
        <v>0</v>
      </c>
      <c r="M63" s="42" t="n">
        <f aca="false">IFERROR((LEN(M$6)-LEN(SUBSTITUTE(M$6,$B63,"")))/LEN($B63),0)</f>
        <v>0</v>
      </c>
      <c r="N63" s="42" t="n">
        <f aca="false">IFERROR((LEN(N$6)-LEN(SUBSTITUTE(N$6,$B63,"")))/LEN($B63),0)</f>
        <v>0</v>
      </c>
      <c r="O63" s="42" t="n">
        <f aca="false">IFERROR((LEN(O$6)-LEN(SUBSTITUTE(O$6,$B63,"")))/LEN($B63),0)</f>
        <v>0</v>
      </c>
      <c r="P63" s="42" t="n">
        <f aca="false">IFERROR((LEN(P$6)-LEN(SUBSTITUTE(P$6,$B63,"")))/LEN($B63),0)</f>
        <v>0</v>
      </c>
      <c r="Q63" s="42" t="n">
        <f aca="false">IFERROR((LEN(Q$6)-LEN(SUBSTITUTE(Q$6,$B63,"")))/LEN($B63),0)</f>
        <v>0</v>
      </c>
      <c r="R63" s="42" t="n">
        <f aca="false">IFERROR((LEN(R$6)-LEN(SUBSTITUTE(R$6,$B63,"")))/LEN($B63),0)</f>
        <v>0</v>
      </c>
      <c r="S63" s="42" t="n">
        <f aca="false">IFERROR((LEN(S$6)-LEN(SUBSTITUTE(S$6,$B63,"")))/LEN($B63),0)</f>
        <v>0</v>
      </c>
      <c r="T63" s="42" t="n">
        <f aca="false">IFERROR((LEN(T$6)-LEN(SUBSTITUTE(T$6,$B63,"")))/LEN($B63),0)</f>
        <v>0</v>
      </c>
      <c r="U63" s="42" t="n">
        <f aca="false">IFERROR((LEN(U$6)-LEN(SUBSTITUTE(U$6,$B63,"")))/LEN($B63),0)</f>
        <v>0</v>
      </c>
      <c r="V63" s="42" t="n">
        <f aca="false">IFERROR((LEN(V$6)-LEN(SUBSTITUTE(V$6,$B63,"")))/LEN($B63),0)</f>
        <v>0</v>
      </c>
    </row>
    <row r="64" customFormat="false" ht="13.5" hidden="false" customHeight="true" outlineLevel="0" collapsed="false">
      <c r="B64" s="39" t="s">
        <v>527</v>
      </c>
      <c r="C64" s="40" t="s">
        <v>524</v>
      </c>
      <c r="D64" s="41" t="n">
        <f aca="false">IFERROR((LEN($D$5)-LEN(SUBSTITUTE($D$5,$B64,"")))/LEN($B64),0)</f>
        <v>0</v>
      </c>
      <c r="E64" s="42" t="n">
        <f aca="false">IFERROR((LEN(E$6)-LEN(SUBSTITUTE(E$6,$B64,"")))/LEN($B64),0)</f>
        <v>0</v>
      </c>
      <c r="F64" s="42" t="n">
        <f aca="false">IFERROR((LEN(F$6)-LEN(SUBSTITUTE(F$6,$B64,"")))/LEN($B64),0)</f>
        <v>0</v>
      </c>
      <c r="G64" s="42" t="n">
        <f aca="false">IFERROR((LEN(G$6)-LEN(SUBSTITUTE(G$6,$B64,"")))/LEN($B64),0)</f>
        <v>1</v>
      </c>
      <c r="H64" s="42" t="n">
        <f aca="false">IFERROR((LEN(H$6)-LEN(SUBSTITUTE(H$6,$B64,"")))/LEN($B64),0)</f>
        <v>0</v>
      </c>
      <c r="I64" s="42" t="n">
        <f aca="false">IFERROR((LEN(I$6)-LEN(SUBSTITUTE(I$6,$B64,"")))/LEN($B64),0)</f>
        <v>0</v>
      </c>
      <c r="J64" s="42" t="n">
        <f aca="false">IFERROR((LEN(J$6)-LEN(SUBSTITUTE(J$6,$B64,"")))/LEN($B64),0)</f>
        <v>0</v>
      </c>
      <c r="K64" s="42" t="n">
        <f aca="false">IFERROR((LEN(K$6)-LEN(SUBSTITUTE(K$6,$B64,"")))/LEN($B64),0)</f>
        <v>0</v>
      </c>
      <c r="L64" s="42" t="n">
        <f aca="false">IFERROR((LEN(L$6)-LEN(SUBSTITUTE(L$6,$B64,"")))/LEN($B64),0)</f>
        <v>0</v>
      </c>
      <c r="M64" s="42" t="n">
        <f aca="false">IFERROR((LEN(M$6)-LEN(SUBSTITUTE(M$6,$B64,"")))/LEN($B64),0)</f>
        <v>0</v>
      </c>
      <c r="N64" s="42" t="n">
        <f aca="false">IFERROR((LEN(N$6)-LEN(SUBSTITUTE(N$6,$B64,"")))/LEN($B64),0)</f>
        <v>0</v>
      </c>
      <c r="O64" s="42" t="n">
        <f aca="false">IFERROR((LEN(O$6)-LEN(SUBSTITUTE(O$6,$B64,"")))/LEN($B64),0)</f>
        <v>0</v>
      </c>
      <c r="P64" s="42" t="n">
        <f aca="false">IFERROR((LEN(P$6)-LEN(SUBSTITUTE(P$6,$B64,"")))/LEN($B64),0)</f>
        <v>0</v>
      </c>
      <c r="Q64" s="42" t="n">
        <f aca="false">IFERROR((LEN(Q$6)-LEN(SUBSTITUTE(Q$6,$B64,"")))/LEN($B64),0)</f>
        <v>0</v>
      </c>
      <c r="R64" s="42" t="n">
        <f aca="false">IFERROR((LEN(R$6)-LEN(SUBSTITUTE(R$6,$B64,"")))/LEN($B64),0)</f>
        <v>0</v>
      </c>
      <c r="S64" s="42" t="n">
        <f aca="false">IFERROR((LEN(S$6)-LEN(SUBSTITUTE(S$6,$B64,"")))/LEN($B64),0)</f>
        <v>0</v>
      </c>
      <c r="T64" s="42" t="n">
        <f aca="false">IFERROR((LEN(T$6)-LEN(SUBSTITUTE(T$6,$B64,"")))/LEN($B64),0)</f>
        <v>0</v>
      </c>
      <c r="U64" s="42" t="n">
        <f aca="false">IFERROR((LEN(U$6)-LEN(SUBSTITUTE(U$6,$B64,"")))/LEN($B64),0)</f>
        <v>0</v>
      </c>
      <c r="V64" s="42" t="n">
        <f aca="false">IFERROR((LEN(V$6)-LEN(SUBSTITUTE(V$6,$B64,"")))/LEN($B64),0)</f>
        <v>0</v>
      </c>
    </row>
    <row r="65" customFormat="false" ht="6.75" hidden="false" customHeight="true" outlineLevel="0" collapsed="false"/>
    <row r="66" customFormat="false" ht="15" hidden="false" customHeight="false" outlineLevel="0" collapsed="false">
      <c r="B66" s="43" t="s">
        <v>528</v>
      </c>
      <c r="D66" s="44" t="n">
        <f aca="false">SUM(D8:D64)</f>
        <v>4</v>
      </c>
      <c r="E66" s="44" t="n">
        <f aca="false">SUM(E8:E64)</f>
        <v>10</v>
      </c>
      <c r="F66" s="44" t="n">
        <f aca="false">SUM(F8:F64)</f>
        <v>6</v>
      </c>
      <c r="G66" s="44" t="n">
        <f aca="false">SUM(G8:G64)</f>
        <v>9</v>
      </c>
      <c r="H66" s="44" t="n">
        <f aca="false">SUM(H8:H64)</f>
        <v>12</v>
      </c>
      <c r="I66" s="44" t="n">
        <f aca="false">SUM(I8:I64)</f>
        <v>6</v>
      </c>
      <c r="J66" s="44" t="n">
        <f aca="false">SUM(J8:J64)</f>
        <v>7</v>
      </c>
      <c r="K66" s="44" t="n">
        <f aca="false">SUM(K8:K64)</f>
        <v>14</v>
      </c>
      <c r="L66" s="44" t="n">
        <f aca="false">SUM(L8:L64)</f>
        <v>11</v>
      </c>
      <c r="M66" s="44" t="n">
        <f aca="false">SUM(M8:M64)</f>
        <v>8</v>
      </c>
      <c r="N66" s="44" t="n">
        <f aca="false">SUM(N8:N64)</f>
        <v>13</v>
      </c>
      <c r="O66" s="44" t="n">
        <f aca="false">SUM(O8:O64)</f>
        <v>13</v>
      </c>
      <c r="P66" s="44" t="n">
        <f aca="false">SUM(P8:P64)</f>
        <v>4</v>
      </c>
      <c r="Q66" s="44" t="n">
        <f aca="false">SUM(Q8:Q64)</f>
        <v>7</v>
      </c>
      <c r="R66" s="44" t="n">
        <f aca="false">SUM(R8:R64)</f>
        <v>6</v>
      </c>
      <c r="S66" s="44" t="n">
        <f aca="false">SUM(S8:S64)</f>
        <v>3</v>
      </c>
      <c r="T66" s="44" t="n">
        <f aca="false">SUM(T8:T64)</f>
        <v>12</v>
      </c>
      <c r="U66" s="44" t="n">
        <f aca="false">SUM(U8:U64)</f>
        <v>9</v>
      </c>
      <c r="V66" s="44" t="n">
        <f aca="false">SUM(V8:V64)</f>
        <v>7</v>
      </c>
    </row>
    <row r="67" customFormat="false" ht="6.75" hidden="false" customHeight="true" outlineLevel="0" collapsed="false"/>
    <row r="68" customFormat="false" ht="21.75" hidden="false" customHeight="true" outlineLevel="0" collapsed="false">
      <c r="B68" s="3" t="s">
        <v>529</v>
      </c>
      <c r="C68" s="3"/>
      <c r="D68" s="3"/>
      <c r="E68" s="3"/>
      <c r="F68" s="3"/>
      <c r="G68" s="3"/>
      <c r="H68" s="3"/>
      <c r="I68" s="3"/>
      <c r="J68" s="3"/>
      <c r="K68" s="3"/>
      <c r="L68" s="3"/>
      <c r="M68" s="3"/>
      <c r="N68" s="3"/>
      <c r="O68" s="3"/>
    </row>
    <row r="69" customFormat="false" ht="42.75" hidden="false" customHeight="true" outlineLevel="0" collapsed="false">
      <c r="B69" s="4" t="s">
        <v>530</v>
      </c>
      <c r="C69" s="4"/>
      <c r="D69" s="4"/>
      <c r="E69" s="4"/>
      <c r="F69" s="4"/>
      <c r="G69" s="4"/>
      <c r="H69" s="4"/>
      <c r="I69" s="4"/>
      <c r="J69" s="4"/>
      <c r="K69" s="4"/>
      <c r="L69" s="4"/>
      <c r="M69" s="4"/>
      <c r="N69" s="4"/>
      <c r="O69" s="4"/>
    </row>
    <row r="70" customFormat="false" ht="42.75" hidden="false" customHeight="true" outlineLevel="0" collapsed="false">
      <c r="B70" s="4" t="s">
        <v>531</v>
      </c>
      <c r="C70" s="4"/>
      <c r="D70" s="4"/>
      <c r="E70" s="4"/>
      <c r="F70" s="4"/>
      <c r="G70" s="4"/>
      <c r="H70" s="4"/>
      <c r="I70" s="4"/>
      <c r="J70" s="4"/>
      <c r="K70" s="4"/>
      <c r="L70" s="4"/>
      <c r="M70" s="4"/>
      <c r="N70" s="4"/>
      <c r="O70" s="4"/>
    </row>
    <row r="71" customFormat="false" ht="45" hidden="false" customHeight="true" outlineLevel="0" collapsed="false">
      <c r="B71" s="10" t="s">
        <v>532</v>
      </c>
      <c r="C71" s="10"/>
      <c r="D71" s="10"/>
      <c r="E71" s="10"/>
      <c r="F71" s="10"/>
      <c r="G71" s="10"/>
      <c r="H71" s="10"/>
      <c r="I71" s="10"/>
      <c r="J71" s="10"/>
      <c r="K71" s="10"/>
      <c r="L71" s="10"/>
      <c r="M71" s="10"/>
      <c r="N71" s="10"/>
      <c r="O71" s="10"/>
    </row>
    <row r="72" customFormat="false" ht="45" hidden="false" customHeight="true" outlineLevel="0" collapsed="false">
      <c r="B72" s="34" t="s">
        <v>533</v>
      </c>
      <c r="C72" s="34"/>
      <c r="D72" s="34"/>
      <c r="E72" s="34"/>
      <c r="F72" s="34"/>
      <c r="G72" s="34"/>
      <c r="H72" s="34"/>
      <c r="I72" s="34"/>
      <c r="J72" s="34"/>
      <c r="K72" s="34"/>
      <c r="L72" s="34"/>
      <c r="M72" s="34"/>
      <c r="N72" s="34"/>
      <c r="O72" s="34"/>
    </row>
    <row r="73" customFormat="false" ht="45" hidden="false" customHeight="true" outlineLevel="0" collapsed="false">
      <c r="B73" s="29" t="s">
        <v>534</v>
      </c>
      <c r="C73" s="29"/>
      <c r="D73" s="29"/>
      <c r="E73" s="29"/>
      <c r="F73" s="29"/>
      <c r="G73" s="29"/>
      <c r="H73" s="29"/>
      <c r="I73" s="29"/>
      <c r="J73" s="29"/>
      <c r="K73" s="29"/>
      <c r="L73" s="29"/>
      <c r="M73" s="29"/>
      <c r="N73" s="29"/>
      <c r="O73" s="29"/>
    </row>
  </sheetData>
  <mergeCells count="8">
    <mergeCell ref="B2:V2"/>
    <mergeCell ref="B3:V3"/>
    <mergeCell ref="B68:O68"/>
    <mergeCell ref="B69:O69"/>
    <mergeCell ref="B70:O70"/>
    <mergeCell ref="B71:O71"/>
    <mergeCell ref="B72:O72"/>
    <mergeCell ref="B73:O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J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10" min="3" style="0" width="15"/>
  </cols>
  <sheetData>
    <row r="2" customFormat="false" ht="30" hidden="false" customHeight="true" outlineLevel="0" collapsed="false">
      <c r="B2" s="1" t="s">
        <v>535</v>
      </c>
      <c r="C2" s="1"/>
      <c r="D2" s="1"/>
      <c r="E2" s="1"/>
      <c r="F2" s="1"/>
      <c r="G2" s="1"/>
      <c r="H2" s="1"/>
      <c r="I2" s="1"/>
      <c r="J2" s="1"/>
    </row>
    <row r="3" customFormat="false" ht="19.5" hidden="false" customHeight="true" outlineLevel="0" collapsed="false">
      <c r="B3" s="2" t="s">
        <v>536</v>
      </c>
      <c r="C3" s="2"/>
      <c r="D3" s="2"/>
      <c r="E3" s="2"/>
      <c r="F3" s="2"/>
      <c r="G3" s="2"/>
      <c r="H3" s="2"/>
      <c r="I3" s="2"/>
      <c r="J3" s="2"/>
    </row>
    <row r="4" customFormat="false" ht="6.75" hidden="false" customHeight="true" outlineLevel="0" collapsed="false"/>
    <row r="5" customFormat="false" ht="21.75" hidden="false" customHeight="true" outlineLevel="0" collapsed="false">
      <c r="B5" s="3" t="s">
        <v>537</v>
      </c>
      <c r="C5" s="3"/>
      <c r="D5" s="3"/>
      <c r="E5" s="3"/>
      <c r="F5" s="3"/>
      <c r="G5" s="3"/>
      <c r="H5" s="3"/>
      <c r="I5" s="3"/>
      <c r="J5" s="3"/>
    </row>
    <row r="6" customFormat="false" ht="69" hidden="false" customHeight="true" outlineLevel="0" collapsed="false">
      <c r="B6" s="4" t="s">
        <v>538</v>
      </c>
      <c r="C6" s="4"/>
      <c r="D6" s="4"/>
      <c r="E6" s="4"/>
      <c r="F6" s="4"/>
      <c r="G6" s="4"/>
      <c r="H6" s="4"/>
      <c r="I6" s="4"/>
      <c r="J6" s="4"/>
    </row>
    <row r="7" customFormat="false" ht="42.75" hidden="false" customHeight="true" outlineLevel="0" collapsed="false">
      <c r="B7" s="4" t="s">
        <v>539</v>
      </c>
      <c r="C7" s="4"/>
      <c r="D7" s="4"/>
      <c r="E7" s="4"/>
      <c r="F7" s="4"/>
      <c r="G7" s="4"/>
      <c r="H7" s="4"/>
      <c r="I7" s="4"/>
      <c r="J7" s="4"/>
    </row>
    <row r="8" customFormat="false" ht="57.75" hidden="false" customHeight="true" outlineLevel="0" collapsed="false">
      <c r="B8" s="10" t="s">
        <v>540</v>
      </c>
      <c r="C8" s="10"/>
      <c r="D8" s="10"/>
      <c r="E8" s="10"/>
      <c r="F8" s="10"/>
      <c r="G8" s="10"/>
      <c r="H8" s="10"/>
      <c r="I8" s="10"/>
      <c r="J8" s="10"/>
    </row>
    <row r="9" customFormat="false" ht="6.75" hidden="false" customHeight="true" outlineLevel="0" collapsed="false"/>
    <row r="10" customFormat="false" ht="21.75" hidden="false" customHeight="true" outlineLevel="0" collapsed="false">
      <c r="B10" s="3" t="s">
        <v>541</v>
      </c>
      <c r="C10" s="3"/>
      <c r="D10" s="3"/>
      <c r="E10" s="3"/>
      <c r="F10" s="3"/>
      <c r="G10" s="3"/>
      <c r="H10" s="3"/>
      <c r="I10" s="3"/>
      <c r="J10" s="3"/>
    </row>
    <row r="11" customFormat="false" ht="55.5" hidden="false" customHeight="true" outlineLevel="0" collapsed="false">
      <c r="B11" s="4" t="s">
        <v>542</v>
      </c>
      <c r="C11" s="4"/>
      <c r="D11" s="4"/>
      <c r="E11" s="4"/>
      <c r="F11" s="4"/>
      <c r="G11" s="4"/>
      <c r="H11" s="4"/>
      <c r="I11" s="4"/>
      <c r="J11" s="4"/>
    </row>
    <row r="12" customFormat="false" ht="30" hidden="false" customHeight="true" outlineLevel="0" collapsed="false">
      <c r="B12" s="11" t="s">
        <v>461</v>
      </c>
      <c r="C12" s="11" t="s">
        <v>543</v>
      </c>
      <c r="D12" s="11" t="s">
        <v>19</v>
      </c>
      <c r="E12" s="11" t="s">
        <v>544</v>
      </c>
    </row>
    <row r="13" customFormat="false" ht="16.5" hidden="false" customHeight="true" outlineLevel="0" collapsed="false">
      <c r="B13" s="18" t="s">
        <v>545</v>
      </c>
      <c r="C13" s="26" t="s">
        <v>464</v>
      </c>
      <c r="D13" s="18" t="s">
        <v>546</v>
      </c>
      <c r="E13" s="13" t="s">
        <v>547</v>
      </c>
    </row>
    <row r="14" customFormat="false" ht="16.5" hidden="false" customHeight="true" outlineLevel="0" collapsed="false">
      <c r="B14" s="18" t="s">
        <v>548</v>
      </c>
      <c r="C14" s="26" t="s">
        <v>471</v>
      </c>
      <c r="D14" s="18" t="s">
        <v>549</v>
      </c>
      <c r="E14" s="13" t="s">
        <v>550</v>
      </c>
    </row>
    <row r="15" customFormat="false" ht="16.5" hidden="false" customHeight="true" outlineLevel="0" collapsed="false">
      <c r="B15" s="18" t="s">
        <v>551</v>
      </c>
      <c r="C15" s="26" t="s">
        <v>483</v>
      </c>
      <c r="D15" s="18" t="s">
        <v>552</v>
      </c>
      <c r="E15" s="13" t="s">
        <v>553</v>
      </c>
    </row>
    <row r="16" customFormat="false" ht="16.5" hidden="false" customHeight="true" outlineLevel="0" collapsed="false">
      <c r="B16" s="18" t="s">
        <v>554</v>
      </c>
      <c r="C16" s="26" t="s">
        <v>489</v>
      </c>
      <c r="D16" s="18" t="s">
        <v>555</v>
      </c>
      <c r="E16" s="13" t="s">
        <v>556</v>
      </c>
    </row>
    <row r="17" customFormat="false" ht="16.5" hidden="false" customHeight="true" outlineLevel="0" collapsed="false">
      <c r="B17" s="18" t="s">
        <v>557</v>
      </c>
      <c r="C17" s="26" t="s">
        <v>500</v>
      </c>
      <c r="D17" s="18" t="s">
        <v>558</v>
      </c>
      <c r="E17" s="13" t="s">
        <v>559</v>
      </c>
    </row>
    <row r="18" customFormat="false" ht="16.5" hidden="false" customHeight="true" outlineLevel="0" collapsed="false">
      <c r="B18" s="18" t="s">
        <v>560</v>
      </c>
      <c r="C18" s="26" t="s">
        <v>511</v>
      </c>
      <c r="D18" s="18" t="s">
        <v>561</v>
      </c>
      <c r="E18" s="13" t="s">
        <v>562</v>
      </c>
    </row>
    <row r="19" customFormat="false" ht="16.5" hidden="false" customHeight="true" outlineLevel="0" collapsed="false">
      <c r="B19" s="18" t="s">
        <v>563</v>
      </c>
      <c r="C19" s="26" t="s">
        <v>519</v>
      </c>
      <c r="D19" s="18" t="s">
        <v>564</v>
      </c>
      <c r="E19" s="13" t="s">
        <v>565</v>
      </c>
    </row>
    <row r="20" customFormat="false" ht="16.5" hidden="false" customHeight="true" outlineLevel="0" collapsed="false">
      <c r="B20" s="18" t="s">
        <v>566</v>
      </c>
      <c r="C20" s="26" t="s">
        <v>524</v>
      </c>
      <c r="D20" s="18" t="s">
        <v>567</v>
      </c>
      <c r="E20" s="13" t="s">
        <v>568</v>
      </c>
    </row>
    <row r="21" customFormat="false" ht="6.75" hidden="false" customHeight="true" outlineLevel="0" collapsed="false"/>
    <row r="22" customFormat="false" ht="57.75" hidden="false" customHeight="true" outlineLevel="0" collapsed="false">
      <c r="B22" s="10" t="s">
        <v>569</v>
      </c>
      <c r="C22" s="10"/>
      <c r="D22" s="10"/>
      <c r="E22" s="10"/>
      <c r="F22" s="10"/>
      <c r="G22" s="10"/>
      <c r="H22" s="10"/>
      <c r="I22" s="10"/>
      <c r="J22" s="10"/>
    </row>
    <row r="23" customFormat="false" ht="6.75" hidden="false" customHeight="true" outlineLevel="0" collapsed="false"/>
    <row r="24" customFormat="false" ht="21.75" hidden="false" customHeight="true" outlineLevel="0" collapsed="false">
      <c r="B24" s="3" t="s">
        <v>570</v>
      </c>
      <c r="C24" s="3"/>
      <c r="D24" s="3"/>
      <c r="E24" s="3"/>
      <c r="F24" s="3"/>
      <c r="G24" s="3"/>
      <c r="H24" s="3"/>
      <c r="I24" s="3"/>
      <c r="J24" s="3"/>
    </row>
    <row r="25" customFormat="false" ht="30" hidden="false" customHeight="true" outlineLevel="0" collapsed="false">
      <c r="B25" s="11" t="s">
        <v>571</v>
      </c>
      <c r="C25" s="11" t="s">
        <v>572</v>
      </c>
      <c r="D25" s="11" t="s">
        <v>573</v>
      </c>
      <c r="E25" s="11" t="s">
        <v>574</v>
      </c>
    </row>
    <row r="26" customFormat="false" ht="43.5" hidden="false" customHeight="true" outlineLevel="0" collapsed="false">
      <c r="B26" s="18" t="s">
        <v>575</v>
      </c>
      <c r="C26" s="13" t="s">
        <v>576</v>
      </c>
      <c r="D26" s="13" t="s">
        <v>577</v>
      </c>
      <c r="E26" s="13" t="s">
        <v>578</v>
      </c>
    </row>
    <row r="27" customFormat="false" ht="43.5" hidden="false" customHeight="true" outlineLevel="0" collapsed="false">
      <c r="B27" s="18" t="s">
        <v>579</v>
      </c>
      <c r="C27" s="13" t="s">
        <v>580</v>
      </c>
      <c r="D27" s="13" t="s">
        <v>581</v>
      </c>
      <c r="E27" s="13" t="s">
        <v>582</v>
      </c>
    </row>
    <row r="28" customFormat="false" ht="43.5" hidden="false" customHeight="true" outlineLevel="0" collapsed="false">
      <c r="B28" s="18" t="s">
        <v>583</v>
      </c>
      <c r="C28" s="13" t="s">
        <v>584</v>
      </c>
      <c r="D28" s="13" t="s">
        <v>585</v>
      </c>
      <c r="E28" s="13" t="s">
        <v>586</v>
      </c>
    </row>
    <row r="29" customFormat="false" ht="43.5" hidden="false" customHeight="true" outlineLevel="0" collapsed="false">
      <c r="B29" s="18" t="s">
        <v>587</v>
      </c>
      <c r="C29" s="13" t="s">
        <v>588</v>
      </c>
      <c r="D29" s="13" t="s">
        <v>589</v>
      </c>
      <c r="E29" s="13" t="s">
        <v>590</v>
      </c>
    </row>
    <row r="30" customFormat="false" ht="43.5" hidden="false" customHeight="true" outlineLevel="0" collapsed="false">
      <c r="B30" s="18" t="s">
        <v>591</v>
      </c>
      <c r="C30" s="13" t="s">
        <v>592</v>
      </c>
      <c r="D30" s="13" t="s">
        <v>593</v>
      </c>
      <c r="E30" s="13" t="s">
        <v>594</v>
      </c>
    </row>
    <row r="31" customFormat="false" ht="43.5" hidden="false" customHeight="true" outlineLevel="0" collapsed="false">
      <c r="B31" s="18" t="s">
        <v>595</v>
      </c>
      <c r="C31" s="13" t="s">
        <v>596</v>
      </c>
      <c r="D31" s="13" t="s">
        <v>597</v>
      </c>
      <c r="E31" s="13" t="s">
        <v>598</v>
      </c>
    </row>
    <row r="32" customFormat="false" ht="6.75" hidden="false" customHeight="true" outlineLevel="0" collapsed="false"/>
    <row r="33" customFormat="false" ht="70.5" hidden="false" customHeight="true" outlineLevel="0" collapsed="false">
      <c r="B33" s="29" t="s">
        <v>599</v>
      </c>
      <c r="C33" s="29"/>
      <c r="D33" s="29"/>
      <c r="E33" s="29"/>
      <c r="F33" s="29"/>
      <c r="G33" s="29"/>
      <c r="H33" s="29"/>
      <c r="I33" s="29"/>
      <c r="J33" s="29"/>
    </row>
  </sheetData>
  <mergeCells count="11">
    <mergeCell ref="B2:J2"/>
    <mergeCell ref="B3:J3"/>
    <mergeCell ref="B5:J5"/>
    <mergeCell ref="B6:J6"/>
    <mergeCell ref="B7:J7"/>
    <mergeCell ref="B8:J8"/>
    <mergeCell ref="B10:J10"/>
    <mergeCell ref="B11:J11"/>
    <mergeCell ref="B22:J22"/>
    <mergeCell ref="B24:J24"/>
    <mergeCell ref="B33:J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M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10"/>
    <col collapsed="false" customWidth="true" hidden="false" outlineLevel="0" max="11" min="4" style="0" width="9.51"/>
    <col collapsed="false" customWidth="true" hidden="false" outlineLevel="0" max="12" min="12" style="0" width="11"/>
    <col collapsed="false" customWidth="true" hidden="false" outlineLevel="0" max="13" min="13" style="0" width="60"/>
  </cols>
  <sheetData>
    <row r="2" customFormat="false" ht="30" hidden="false" customHeight="true" outlineLevel="0" collapsed="false">
      <c r="B2" s="1" t="s">
        <v>600</v>
      </c>
      <c r="C2" s="1"/>
      <c r="D2" s="1"/>
      <c r="E2" s="1"/>
      <c r="F2" s="1"/>
      <c r="G2" s="1"/>
      <c r="H2" s="1"/>
      <c r="I2" s="1"/>
      <c r="J2" s="1"/>
      <c r="K2" s="1"/>
      <c r="L2" s="1"/>
    </row>
    <row r="3" customFormat="false" ht="19.5" hidden="false" customHeight="true" outlineLevel="0" collapsed="false">
      <c r="B3" s="2" t="s">
        <v>601</v>
      </c>
      <c r="C3" s="2"/>
      <c r="D3" s="2"/>
      <c r="E3" s="2"/>
      <c r="F3" s="2"/>
      <c r="G3" s="2"/>
      <c r="H3" s="2"/>
      <c r="I3" s="2"/>
      <c r="J3" s="2"/>
      <c r="K3" s="2"/>
      <c r="L3" s="2"/>
    </row>
    <row r="5" customFormat="false" ht="21.75" hidden="false" customHeight="true" outlineLevel="0" collapsed="false">
      <c r="B5" s="3" t="s">
        <v>602</v>
      </c>
      <c r="C5" s="3"/>
      <c r="D5" s="3"/>
      <c r="E5" s="3"/>
      <c r="F5" s="3"/>
      <c r="G5" s="3"/>
      <c r="H5" s="3"/>
      <c r="I5" s="3"/>
      <c r="J5" s="3"/>
      <c r="K5" s="3"/>
      <c r="L5" s="3"/>
    </row>
    <row r="6" customFormat="false" ht="12" hidden="false" customHeight="true" outlineLevel="0" collapsed="false">
      <c r="B6" s="45" t="s">
        <v>603</v>
      </c>
      <c r="D6" s="46" t="s">
        <v>464</v>
      </c>
      <c r="E6" s="46" t="s">
        <v>471</v>
      </c>
      <c r="F6" s="46" t="s">
        <v>483</v>
      </c>
      <c r="G6" s="46" t="s">
        <v>489</v>
      </c>
      <c r="H6" s="46" t="s">
        <v>500</v>
      </c>
      <c r="I6" s="46" t="s">
        <v>511</v>
      </c>
      <c r="J6" s="46" t="s">
        <v>519</v>
      </c>
      <c r="K6" s="46" t="s">
        <v>524</v>
      </c>
    </row>
    <row r="7" customFormat="false" ht="30" hidden="false" customHeight="true" outlineLevel="0" collapsed="false">
      <c r="B7" s="11" t="s">
        <v>604</v>
      </c>
      <c r="C7" s="11" t="s">
        <v>250</v>
      </c>
      <c r="D7" s="11" t="s">
        <v>605</v>
      </c>
      <c r="E7" s="11" t="s">
        <v>606</v>
      </c>
      <c r="F7" s="11" t="s">
        <v>607</v>
      </c>
      <c r="G7" s="11" t="s">
        <v>608</v>
      </c>
      <c r="H7" s="11" t="s">
        <v>609</v>
      </c>
      <c r="I7" s="11" t="s">
        <v>610</v>
      </c>
      <c r="J7" s="11" t="s">
        <v>611</v>
      </c>
      <c r="K7" s="11" t="s">
        <v>612</v>
      </c>
      <c r="L7" s="11" t="s">
        <v>613</v>
      </c>
      <c r="M7" s="11" t="s">
        <v>614</v>
      </c>
    </row>
    <row r="8" customFormat="false" ht="18" hidden="false" customHeight="true" outlineLevel="0" collapsed="false">
      <c r="B8" s="47" t="s">
        <v>615</v>
      </c>
      <c r="C8" s="12" t="s">
        <v>616</v>
      </c>
      <c r="D8" s="48" t="n">
        <f aca="false">SUMIF(07_Term_Matrix!$C$8:$C$64,D$6,07_Term_Matrix!$D$8:$D$64)</f>
        <v>0</v>
      </c>
      <c r="E8" s="48" t="n">
        <f aca="false">SUMIF(07_Term_Matrix!$C$8:$C$64,E$6,07_Term_Matrix!$D$8:$D$64)</f>
        <v>1</v>
      </c>
      <c r="F8" s="48" t="n">
        <f aca="false">SUMIF(07_Term_Matrix!$C$8:$C$64,F$6,07_Term_Matrix!$D$8:$D$64)</f>
        <v>2</v>
      </c>
      <c r="G8" s="48" t="n">
        <f aca="false">SUMIF(07_Term_Matrix!$C$8:$C$64,G$6,07_Term_Matrix!$D$8:$D$64)</f>
        <v>1</v>
      </c>
      <c r="H8" s="48" t="n">
        <f aca="false">SUMIF(07_Term_Matrix!$C$8:$C$64,H$6,07_Term_Matrix!$D$8:$D$64)</f>
        <v>0</v>
      </c>
      <c r="I8" s="48" t="n">
        <f aca="false">SUMIF(07_Term_Matrix!$C$8:$C$64,I$6,07_Term_Matrix!$D$8:$D$64)</f>
        <v>0</v>
      </c>
      <c r="J8" s="48" t="n">
        <f aca="false">SUMIF(07_Term_Matrix!$C$8:$C$64,J$6,07_Term_Matrix!$D$8:$D$64)</f>
        <v>0</v>
      </c>
      <c r="K8" s="48" t="n">
        <f aca="false">SUMIF(07_Term_Matrix!$C$8:$C$64,K$6,07_Term_Matrix!$D$8:$D$64)</f>
        <v>0</v>
      </c>
      <c r="L8" s="49" t="n">
        <f aca="false">SQRT(SUMSQ(D8:K8))</f>
        <v>2.44948974278318</v>
      </c>
      <c r="M8" s="12" t="s">
        <v>617</v>
      </c>
    </row>
    <row r="9" customFormat="false" ht="15" hidden="false" customHeight="true" outlineLevel="0" collapsed="false">
      <c r="B9" s="26" t="s">
        <v>424</v>
      </c>
      <c r="C9" s="18" t="s">
        <v>256</v>
      </c>
      <c r="D9" s="32" t="n">
        <f aca="false">SUMIF(07_Term_Matrix!$C$8:$C$64,D$6,07_Term_Matrix!$E$8:$E$64)</f>
        <v>3</v>
      </c>
      <c r="E9" s="32" t="n">
        <f aca="false">SUMIF(07_Term_Matrix!$C$8:$C$64,E$6,07_Term_Matrix!$E$8:$E$64)</f>
        <v>0</v>
      </c>
      <c r="F9" s="32" t="n">
        <f aca="false">SUMIF(07_Term_Matrix!$C$8:$C$64,F$6,07_Term_Matrix!$E$8:$E$64)</f>
        <v>0</v>
      </c>
      <c r="G9" s="32" t="n">
        <f aca="false">SUMIF(07_Term_Matrix!$C$8:$C$64,G$6,07_Term_Matrix!$E$8:$E$64)</f>
        <v>0</v>
      </c>
      <c r="H9" s="32" t="n">
        <f aca="false">SUMIF(07_Term_Matrix!$C$8:$C$64,H$6,07_Term_Matrix!$E$8:$E$64)</f>
        <v>0</v>
      </c>
      <c r="I9" s="32" t="n">
        <f aca="false">SUMIF(07_Term_Matrix!$C$8:$C$64,I$6,07_Term_Matrix!$E$8:$E$64)</f>
        <v>4</v>
      </c>
      <c r="J9" s="32" t="n">
        <f aca="false">SUMIF(07_Term_Matrix!$C$8:$C$64,J$6,07_Term_Matrix!$E$8:$E$64)</f>
        <v>3</v>
      </c>
      <c r="K9" s="32" t="n">
        <f aca="false">SUMIF(07_Term_Matrix!$C$8:$C$64,K$6,07_Term_Matrix!$E$8:$E$64)</f>
        <v>0</v>
      </c>
      <c r="L9" s="50" t="n">
        <f aca="false">SQRT(SUMSQ(D9:K9))</f>
        <v>5.8309518948453</v>
      </c>
      <c r="M9" s="18"/>
    </row>
    <row r="10" customFormat="false" ht="15" hidden="false" customHeight="true" outlineLevel="0" collapsed="false">
      <c r="B10" s="26" t="s">
        <v>427</v>
      </c>
      <c r="C10" s="18" t="s">
        <v>256</v>
      </c>
      <c r="D10" s="32" t="n">
        <f aca="false">SUMIF(07_Term_Matrix!$C$8:$C$64,D$6,07_Term_Matrix!$F$8:$F$64)</f>
        <v>4</v>
      </c>
      <c r="E10" s="32" t="n">
        <f aca="false">SUMIF(07_Term_Matrix!$C$8:$C$64,E$6,07_Term_Matrix!$F$8:$F$64)</f>
        <v>0</v>
      </c>
      <c r="F10" s="32" t="n">
        <f aca="false">SUMIF(07_Term_Matrix!$C$8:$C$64,F$6,07_Term_Matrix!$F$8:$F$64)</f>
        <v>0</v>
      </c>
      <c r="G10" s="32" t="n">
        <f aca="false">SUMIF(07_Term_Matrix!$C$8:$C$64,G$6,07_Term_Matrix!$F$8:$F$64)</f>
        <v>0</v>
      </c>
      <c r="H10" s="32" t="n">
        <f aca="false">SUMIF(07_Term_Matrix!$C$8:$C$64,H$6,07_Term_Matrix!$F$8:$F$64)</f>
        <v>0</v>
      </c>
      <c r="I10" s="32" t="n">
        <f aca="false">SUMIF(07_Term_Matrix!$C$8:$C$64,I$6,07_Term_Matrix!$F$8:$F$64)</f>
        <v>1</v>
      </c>
      <c r="J10" s="32" t="n">
        <f aca="false">SUMIF(07_Term_Matrix!$C$8:$C$64,J$6,07_Term_Matrix!$F$8:$F$64)</f>
        <v>1</v>
      </c>
      <c r="K10" s="32" t="n">
        <f aca="false">SUMIF(07_Term_Matrix!$C$8:$C$64,K$6,07_Term_Matrix!$F$8:$F$64)</f>
        <v>0</v>
      </c>
      <c r="L10" s="50" t="n">
        <f aca="false">SQRT(SUMSQ(D10:K10))</f>
        <v>4.24264068711929</v>
      </c>
      <c r="M10" s="18"/>
    </row>
    <row r="11" customFormat="false" ht="15" hidden="false" customHeight="true" outlineLevel="0" collapsed="false">
      <c r="B11" s="26" t="s">
        <v>430</v>
      </c>
      <c r="C11" s="18" t="s">
        <v>261</v>
      </c>
      <c r="D11" s="32" t="n">
        <f aca="false">SUMIF(07_Term_Matrix!$C$8:$C$64,D$6,07_Term_Matrix!$G$8:$G$64)</f>
        <v>2</v>
      </c>
      <c r="E11" s="32" t="n">
        <f aca="false">SUMIF(07_Term_Matrix!$C$8:$C$64,E$6,07_Term_Matrix!$G$8:$G$64)</f>
        <v>1</v>
      </c>
      <c r="F11" s="32" t="n">
        <f aca="false">SUMIF(07_Term_Matrix!$C$8:$C$64,F$6,07_Term_Matrix!$G$8:$G$64)</f>
        <v>0</v>
      </c>
      <c r="G11" s="32" t="n">
        <f aca="false">SUMIF(07_Term_Matrix!$C$8:$C$64,G$6,07_Term_Matrix!$G$8:$G$64)</f>
        <v>0</v>
      </c>
      <c r="H11" s="32" t="n">
        <f aca="false">SUMIF(07_Term_Matrix!$C$8:$C$64,H$6,07_Term_Matrix!$G$8:$G$64)</f>
        <v>0</v>
      </c>
      <c r="I11" s="32" t="n">
        <f aca="false">SUMIF(07_Term_Matrix!$C$8:$C$64,I$6,07_Term_Matrix!$G$8:$G$64)</f>
        <v>0</v>
      </c>
      <c r="J11" s="32" t="n">
        <f aca="false">SUMIF(07_Term_Matrix!$C$8:$C$64,J$6,07_Term_Matrix!$G$8:$G$64)</f>
        <v>2</v>
      </c>
      <c r="K11" s="32" t="n">
        <f aca="false">SUMIF(07_Term_Matrix!$C$8:$C$64,K$6,07_Term_Matrix!$G$8:$G$64)</f>
        <v>4</v>
      </c>
      <c r="L11" s="50" t="n">
        <f aca="false">SQRT(SUMSQ(D11:K11))</f>
        <v>5</v>
      </c>
      <c r="M11" s="18" t="s">
        <v>618</v>
      </c>
    </row>
    <row r="12" customFormat="false" ht="15" hidden="false" customHeight="true" outlineLevel="0" collapsed="false">
      <c r="B12" s="26" t="s">
        <v>432</v>
      </c>
      <c r="C12" s="18" t="s">
        <v>265</v>
      </c>
      <c r="D12" s="32" t="n">
        <f aca="false">SUMIF(07_Term_Matrix!$C$8:$C$64,D$6,07_Term_Matrix!$H$8:$H$64)</f>
        <v>8</v>
      </c>
      <c r="E12" s="32" t="n">
        <f aca="false">SUMIF(07_Term_Matrix!$C$8:$C$64,E$6,07_Term_Matrix!$H$8:$H$64)</f>
        <v>1</v>
      </c>
      <c r="F12" s="32" t="n">
        <f aca="false">SUMIF(07_Term_Matrix!$C$8:$C$64,F$6,07_Term_Matrix!$H$8:$H$64)</f>
        <v>0</v>
      </c>
      <c r="G12" s="32" t="n">
        <f aca="false">SUMIF(07_Term_Matrix!$C$8:$C$64,G$6,07_Term_Matrix!$H$8:$H$64)</f>
        <v>0</v>
      </c>
      <c r="H12" s="32" t="n">
        <f aca="false">SUMIF(07_Term_Matrix!$C$8:$C$64,H$6,07_Term_Matrix!$H$8:$H$64)</f>
        <v>0</v>
      </c>
      <c r="I12" s="32" t="n">
        <f aca="false">SUMIF(07_Term_Matrix!$C$8:$C$64,I$6,07_Term_Matrix!$H$8:$H$64)</f>
        <v>2</v>
      </c>
      <c r="J12" s="32" t="n">
        <f aca="false">SUMIF(07_Term_Matrix!$C$8:$C$64,J$6,07_Term_Matrix!$H$8:$H$64)</f>
        <v>1</v>
      </c>
      <c r="K12" s="32" t="n">
        <f aca="false">SUMIF(07_Term_Matrix!$C$8:$C$64,K$6,07_Term_Matrix!$H$8:$H$64)</f>
        <v>0</v>
      </c>
      <c r="L12" s="50" t="n">
        <f aca="false">SQRT(SUMSQ(D12:K12))</f>
        <v>8.36660026534076</v>
      </c>
      <c r="M12" s="18"/>
    </row>
    <row r="13" customFormat="false" ht="15" hidden="false" customHeight="true" outlineLevel="0" collapsed="false">
      <c r="B13" s="26" t="s">
        <v>433</v>
      </c>
      <c r="C13" s="18" t="s">
        <v>269</v>
      </c>
      <c r="D13" s="32" t="n">
        <f aca="false">SUMIF(07_Term_Matrix!$C$8:$C$64,D$6,07_Term_Matrix!$I$8:$I$64)</f>
        <v>0</v>
      </c>
      <c r="E13" s="32" t="n">
        <f aca="false">SUMIF(07_Term_Matrix!$C$8:$C$64,E$6,07_Term_Matrix!$I$8:$I$64)</f>
        <v>2</v>
      </c>
      <c r="F13" s="32" t="n">
        <f aca="false">SUMIF(07_Term_Matrix!$C$8:$C$64,F$6,07_Term_Matrix!$I$8:$I$64)</f>
        <v>0</v>
      </c>
      <c r="G13" s="32" t="n">
        <f aca="false">SUMIF(07_Term_Matrix!$C$8:$C$64,G$6,07_Term_Matrix!$I$8:$I$64)</f>
        <v>0</v>
      </c>
      <c r="H13" s="32" t="n">
        <f aca="false">SUMIF(07_Term_Matrix!$C$8:$C$64,H$6,07_Term_Matrix!$I$8:$I$64)</f>
        <v>0</v>
      </c>
      <c r="I13" s="32" t="n">
        <f aca="false">SUMIF(07_Term_Matrix!$C$8:$C$64,I$6,07_Term_Matrix!$I$8:$I$64)</f>
        <v>2</v>
      </c>
      <c r="J13" s="32" t="n">
        <f aca="false">SUMIF(07_Term_Matrix!$C$8:$C$64,J$6,07_Term_Matrix!$I$8:$I$64)</f>
        <v>2</v>
      </c>
      <c r="K13" s="32" t="n">
        <f aca="false">SUMIF(07_Term_Matrix!$C$8:$C$64,K$6,07_Term_Matrix!$I$8:$I$64)</f>
        <v>0</v>
      </c>
      <c r="L13" s="50" t="n">
        <f aca="false">SQRT(SUMSQ(D13:K13))</f>
        <v>3.46410161513775</v>
      </c>
      <c r="M13" s="18"/>
    </row>
    <row r="14" customFormat="false" ht="15" hidden="false" customHeight="true" outlineLevel="0" collapsed="false">
      <c r="B14" s="26" t="s">
        <v>434</v>
      </c>
      <c r="C14" s="18" t="s">
        <v>273</v>
      </c>
      <c r="D14" s="32" t="n">
        <f aca="false">SUMIF(07_Term_Matrix!$C$8:$C$64,D$6,07_Term_Matrix!$J$8:$J$64)</f>
        <v>0</v>
      </c>
      <c r="E14" s="32" t="n">
        <f aca="false">SUMIF(07_Term_Matrix!$C$8:$C$64,E$6,07_Term_Matrix!$J$8:$J$64)</f>
        <v>6</v>
      </c>
      <c r="F14" s="32" t="n">
        <f aca="false">SUMIF(07_Term_Matrix!$C$8:$C$64,F$6,07_Term_Matrix!$J$8:$J$64)</f>
        <v>0</v>
      </c>
      <c r="G14" s="32" t="n">
        <f aca="false">SUMIF(07_Term_Matrix!$C$8:$C$64,G$6,07_Term_Matrix!$J$8:$J$64)</f>
        <v>0</v>
      </c>
      <c r="H14" s="32" t="n">
        <f aca="false">SUMIF(07_Term_Matrix!$C$8:$C$64,H$6,07_Term_Matrix!$J$8:$J$64)</f>
        <v>0</v>
      </c>
      <c r="I14" s="32" t="n">
        <f aca="false">SUMIF(07_Term_Matrix!$C$8:$C$64,I$6,07_Term_Matrix!$J$8:$J$64)</f>
        <v>0</v>
      </c>
      <c r="J14" s="32" t="n">
        <f aca="false">SUMIF(07_Term_Matrix!$C$8:$C$64,J$6,07_Term_Matrix!$J$8:$J$64)</f>
        <v>1</v>
      </c>
      <c r="K14" s="32" t="n">
        <f aca="false">SUMIF(07_Term_Matrix!$C$8:$C$64,K$6,07_Term_Matrix!$J$8:$J$64)</f>
        <v>0</v>
      </c>
      <c r="L14" s="50" t="n">
        <f aca="false">SQRT(SUMSQ(D14:K14))</f>
        <v>6.08276253029822</v>
      </c>
      <c r="M14" s="18"/>
    </row>
    <row r="15" customFormat="false" ht="15" hidden="false" customHeight="true" outlineLevel="0" collapsed="false">
      <c r="B15" s="27" t="s">
        <v>435</v>
      </c>
      <c r="C15" s="18" t="s">
        <v>277</v>
      </c>
      <c r="D15" s="32" t="n">
        <f aca="false">SUMIF(07_Term_Matrix!$C$8:$C$64,D$6,07_Term_Matrix!$K$8:$K$64)</f>
        <v>0</v>
      </c>
      <c r="E15" s="32" t="n">
        <f aca="false">SUMIF(07_Term_Matrix!$C$8:$C$64,E$6,07_Term_Matrix!$K$8:$K$64)</f>
        <v>10</v>
      </c>
      <c r="F15" s="32" t="n">
        <f aca="false">SUMIF(07_Term_Matrix!$C$8:$C$64,F$6,07_Term_Matrix!$K$8:$K$64)</f>
        <v>0</v>
      </c>
      <c r="G15" s="32" t="n">
        <f aca="false">SUMIF(07_Term_Matrix!$C$8:$C$64,G$6,07_Term_Matrix!$K$8:$K$64)</f>
        <v>0</v>
      </c>
      <c r="H15" s="32" t="n">
        <f aca="false">SUMIF(07_Term_Matrix!$C$8:$C$64,H$6,07_Term_Matrix!$K$8:$K$64)</f>
        <v>0</v>
      </c>
      <c r="I15" s="32" t="n">
        <f aca="false">SUMIF(07_Term_Matrix!$C$8:$C$64,I$6,07_Term_Matrix!$K$8:$K$64)</f>
        <v>3</v>
      </c>
      <c r="J15" s="32" t="n">
        <f aca="false">SUMIF(07_Term_Matrix!$C$8:$C$64,J$6,07_Term_Matrix!$K$8:$K$64)</f>
        <v>1</v>
      </c>
      <c r="K15" s="32" t="n">
        <f aca="false">SUMIF(07_Term_Matrix!$C$8:$C$64,K$6,07_Term_Matrix!$K$8:$K$64)</f>
        <v>0</v>
      </c>
      <c r="L15" s="50" t="n">
        <f aca="false">SQRT(SUMSQ(D15:K15))</f>
        <v>10.4880884817015</v>
      </c>
      <c r="M15" s="18"/>
    </row>
    <row r="16" customFormat="false" ht="15" hidden="false" customHeight="true" outlineLevel="0" collapsed="false">
      <c r="B16" s="27" t="s">
        <v>437</v>
      </c>
      <c r="C16" s="18" t="s">
        <v>277</v>
      </c>
      <c r="D16" s="32" t="n">
        <f aca="false">SUMIF(07_Term_Matrix!$C$8:$C$64,D$6,07_Term_Matrix!$L$8:$L$64)</f>
        <v>0</v>
      </c>
      <c r="E16" s="32" t="n">
        <f aca="false">SUMIF(07_Term_Matrix!$C$8:$C$64,E$6,07_Term_Matrix!$L$8:$L$64)</f>
        <v>6</v>
      </c>
      <c r="F16" s="32" t="n">
        <f aca="false">SUMIF(07_Term_Matrix!$C$8:$C$64,F$6,07_Term_Matrix!$L$8:$L$64)</f>
        <v>3</v>
      </c>
      <c r="G16" s="32" t="n">
        <f aca="false">SUMIF(07_Term_Matrix!$C$8:$C$64,G$6,07_Term_Matrix!$L$8:$L$64)</f>
        <v>1</v>
      </c>
      <c r="H16" s="32" t="n">
        <f aca="false">SUMIF(07_Term_Matrix!$C$8:$C$64,H$6,07_Term_Matrix!$L$8:$L$64)</f>
        <v>0</v>
      </c>
      <c r="I16" s="32" t="n">
        <f aca="false">SUMIF(07_Term_Matrix!$C$8:$C$64,I$6,07_Term_Matrix!$L$8:$L$64)</f>
        <v>1</v>
      </c>
      <c r="J16" s="32" t="n">
        <f aca="false">SUMIF(07_Term_Matrix!$C$8:$C$64,J$6,07_Term_Matrix!$L$8:$L$64)</f>
        <v>0</v>
      </c>
      <c r="K16" s="32" t="n">
        <f aca="false">SUMIF(07_Term_Matrix!$C$8:$C$64,K$6,07_Term_Matrix!$L$8:$L$64)</f>
        <v>0</v>
      </c>
      <c r="L16" s="50" t="n">
        <f aca="false">SQRT(SUMSQ(D16:K16))</f>
        <v>6.85565460040104</v>
      </c>
      <c r="M16" s="18" t="s">
        <v>619</v>
      </c>
    </row>
    <row r="17" customFormat="false" ht="15" hidden="false" customHeight="true" outlineLevel="0" collapsed="false">
      <c r="B17" s="26" t="s">
        <v>439</v>
      </c>
      <c r="C17" s="18" t="s">
        <v>281</v>
      </c>
      <c r="D17" s="32" t="n">
        <f aca="false">SUMIF(07_Term_Matrix!$C$8:$C$64,D$6,07_Term_Matrix!$M$8:$M$64)</f>
        <v>0</v>
      </c>
      <c r="E17" s="32" t="n">
        <f aca="false">SUMIF(07_Term_Matrix!$C$8:$C$64,E$6,07_Term_Matrix!$M$8:$M$64)</f>
        <v>0</v>
      </c>
      <c r="F17" s="32" t="n">
        <f aca="false">SUMIF(07_Term_Matrix!$C$8:$C$64,F$6,07_Term_Matrix!$M$8:$M$64)</f>
        <v>4</v>
      </c>
      <c r="G17" s="32" t="n">
        <f aca="false">SUMIF(07_Term_Matrix!$C$8:$C$64,G$6,07_Term_Matrix!$M$8:$M$64)</f>
        <v>0</v>
      </c>
      <c r="H17" s="32" t="n">
        <f aca="false">SUMIF(07_Term_Matrix!$C$8:$C$64,H$6,07_Term_Matrix!$M$8:$M$64)</f>
        <v>0</v>
      </c>
      <c r="I17" s="32" t="n">
        <f aca="false">SUMIF(07_Term_Matrix!$C$8:$C$64,I$6,07_Term_Matrix!$M$8:$M$64)</f>
        <v>1</v>
      </c>
      <c r="J17" s="32" t="n">
        <f aca="false">SUMIF(07_Term_Matrix!$C$8:$C$64,J$6,07_Term_Matrix!$M$8:$M$64)</f>
        <v>3</v>
      </c>
      <c r="K17" s="32" t="n">
        <f aca="false">SUMIF(07_Term_Matrix!$C$8:$C$64,K$6,07_Term_Matrix!$M$8:$M$64)</f>
        <v>0</v>
      </c>
      <c r="L17" s="50" t="n">
        <f aca="false">SQRT(SUMSQ(D17:K17))</f>
        <v>5.09901951359278</v>
      </c>
      <c r="M17" s="18"/>
    </row>
    <row r="18" customFormat="false" ht="15" hidden="false" customHeight="true" outlineLevel="0" collapsed="false">
      <c r="B18" s="33" t="s">
        <v>440</v>
      </c>
      <c r="C18" s="18" t="s">
        <v>285</v>
      </c>
      <c r="D18" s="32" t="n">
        <f aca="false">SUMIF(07_Term_Matrix!$C$8:$C$64,D$6,07_Term_Matrix!$N$8:$N$64)</f>
        <v>0</v>
      </c>
      <c r="E18" s="32" t="n">
        <f aca="false">SUMIF(07_Term_Matrix!$C$8:$C$64,E$6,07_Term_Matrix!$N$8:$N$64)</f>
        <v>3</v>
      </c>
      <c r="F18" s="32" t="n">
        <f aca="false">SUMIF(07_Term_Matrix!$C$8:$C$64,F$6,07_Term_Matrix!$N$8:$N$64)</f>
        <v>3</v>
      </c>
      <c r="G18" s="32" t="n">
        <f aca="false">SUMIF(07_Term_Matrix!$C$8:$C$64,G$6,07_Term_Matrix!$N$8:$N$64)</f>
        <v>6</v>
      </c>
      <c r="H18" s="32" t="n">
        <f aca="false">SUMIF(07_Term_Matrix!$C$8:$C$64,H$6,07_Term_Matrix!$N$8:$N$64)</f>
        <v>0</v>
      </c>
      <c r="I18" s="32" t="n">
        <f aca="false">SUMIF(07_Term_Matrix!$C$8:$C$64,I$6,07_Term_Matrix!$N$8:$N$64)</f>
        <v>0</v>
      </c>
      <c r="J18" s="32" t="n">
        <f aca="false">SUMIF(07_Term_Matrix!$C$8:$C$64,J$6,07_Term_Matrix!$N$8:$N$64)</f>
        <v>1</v>
      </c>
      <c r="K18" s="32" t="n">
        <f aca="false">SUMIF(07_Term_Matrix!$C$8:$C$64,K$6,07_Term_Matrix!$N$8:$N$64)</f>
        <v>0</v>
      </c>
      <c r="L18" s="50" t="n">
        <f aca="false">SQRT(SUMSQ(D18:K18))</f>
        <v>7.41619848709566</v>
      </c>
      <c r="M18" s="18" t="s">
        <v>620</v>
      </c>
    </row>
    <row r="19" customFormat="false" ht="15" hidden="false" customHeight="true" outlineLevel="0" collapsed="false">
      <c r="B19" s="33" t="s">
        <v>442</v>
      </c>
      <c r="C19" s="18" t="s">
        <v>285</v>
      </c>
      <c r="D19" s="32" t="n">
        <f aca="false">SUMIF(07_Term_Matrix!$C$8:$C$64,D$6,07_Term_Matrix!$O$8:$O$64)</f>
        <v>1</v>
      </c>
      <c r="E19" s="32" t="n">
        <f aca="false">SUMIF(07_Term_Matrix!$C$8:$C$64,E$6,07_Term_Matrix!$O$8:$O$64)</f>
        <v>5</v>
      </c>
      <c r="F19" s="32" t="n">
        <f aca="false">SUMIF(07_Term_Matrix!$C$8:$C$64,F$6,07_Term_Matrix!$O$8:$O$64)</f>
        <v>2</v>
      </c>
      <c r="G19" s="32" t="n">
        <f aca="false">SUMIF(07_Term_Matrix!$C$8:$C$64,G$6,07_Term_Matrix!$O$8:$O$64)</f>
        <v>5</v>
      </c>
      <c r="H19" s="32" t="n">
        <f aca="false">SUMIF(07_Term_Matrix!$C$8:$C$64,H$6,07_Term_Matrix!$O$8:$O$64)</f>
        <v>0</v>
      </c>
      <c r="I19" s="32" t="n">
        <f aca="false">SUMIF(07_Term_Matrix!$C$8:$C$64,I$6,07_Term_Matrix!$O$8:$O$64)</f>
        <v>0</v>
      </c>
      <c r="J19" s="32" t="n">
        <f aca="false">SUMIF(07_Term_Matrix!$C$8:$C$64,J$6,07_Term_Matrix!$O$8:$O$64)</f>
        <v>0</v>
      </c>
      <c r="K19" s="32" t="n">
        <f aca="false">SUMIF(07_Term_Matrix!$C$8:$C$64,K$6,07_Term_Matrix!$O$8:$O$64)</f>
        <v>0</v>
      </c>
      <c r="L19" s="50" t="n">
        <f aca="false">SQRT(SUMSQ(D19:K19))</f>
        <v>7.41619848709566</v>
      </c>
      <c r="M19" s="18" t="s">
        <v>621</v>
      </c>
    </row>
    <row r="20" customFormat="false" ht="15" hidden="false" customHeight="true" outlineLevel="0" collapsed="false">
      <c r="B20" s="26" t="s">
        <v>444</v>
      </c>
      <c r="C20" s="18" t="s">
        <v>289</v>
      </c>
      <c r="D20" s="32" t="n">
        <f aca="false">SUMIF(07_Term_Matrix!$C$8:$C$64,D$6,07_Term_Matrix!$P$8:$P$64)</f>
        <v>0</v>
      </c>
      <c r="E20" s="32" t="n">
        <f aca="false">SUMIF(07_Term_Matrix!$C$8:$C$64,E$6,07_Term_Matrix!$P$8:$P$64)</f>
        <v>0</v>
      </c>
      <c r="F20" s="32" t="n">
        <f aca="false">SUMIF(07_Term_Matrix!$C$8:$C$64,F$6,07_Term_Matrix!$P$8:$P$64)</f>
        <v>0</v>
      </c>
      <c r="G20" s="32" t="n">
        <f aca="false">SUMIF(07_Term_Matrix!$C$8:$C$64,G$6,07_Term_Matrix!$P$8:$P$64)</f>
        <v>2</v>
      </c>
      <c r="H20" s="32" t="n">
        <f aca="false">SUMIF(07_Term_Matrix!$C$8:$C$64,H$6,07_Term_Matrix!$P$8:$P$64)</f>
        <v>1</v>
      </c>
      <c r="I20" s="32" t="n">
        <f aca="false">SUMIF(07_Term_Matrix!$C$8:$C$64,I$6,07_Term_Matrix!$P$8:$P$64)</f>
        <v>1</v>
      </c>
      <c r="J20" s="32" t="n">
        <f aca="false">SUMIF(07_Term_Matrix!$C$8:$C$64,J$6,07_Term_Matrix!$P$8:$P$64)</f>
        <v>0</v>
      </c>
      <c r="K20" s="32" t="n">
        <f aca="false">SUMIF(07_Term_Matrix!$C$8:$C$64,K$6,07_Term_Matrix!$P$8:$P$64)</f>
        <v>0</v>
      </c>
      <c r="L20" s="50" t="n">
        <f aca="false">SQRT(SUMSQ(D20:K20))</f>
        <v>2.44948974278318</v>
      </c>
      <c r="M20" s="18"/>
    </row>
    <row r="21" customFormat="false" ht="15" hidden="false" customHeight="true" outlineLevel="0" collapsed="false">
      <c r="B21" s="26" t="s">
        <v>445</v>
      </c>
      <c r="C21" s="18" t="s">
        <v>294</v>
      </c>
      <c r="D21" s="32" t="n">
        <f aca="false">SUMIF(07_Term_Matrix!$C$8:$C$64,D$6,07_Term_Matrix!$Q$8:$Q$64)</f>
        <v>0</v>
      </c>
      <c r="E21" s="32" t="n">
        <f aca="false">SUMIF(07_Term_Matrix!$C$8:$C$64,E$6,07_Term_Matrix!$Q$8:$Q$64)</f>
        <v>0</v>
      </c>
      <c r="F21" s="32" t="n">
        <f aca="false">SUMIF(07_Term_Matrix!$C$8:$C$64,F$6,07_Term_Matrix!$Q$8:$Q$64)</f>
        <v>0</v>
      </c>
      <c r="G21" s="32" t="n">
        <f aca="false">SUMIF(07_Term_Matrix!$C$8:$C$64,G$6,07_Term_Matrix!$Q$8:$Q$64)</f>
        <v>2</v>
      </c>
      <c r="H21" s="32" t="n">
        <f aca="false">SUMIF(07_Term_Matrix!$C$8:$C$64,H$6,07_Term_Matrix!$Q$8:$Q$64)</f>
        <v>1</v>
      </c>
      <c r="I21" s="32" t="n">
        <f aca="false">SUMIF(07_Term_Matrix!$C$8:$C$64,I$6,07_Term_Matrix!$Q$8:$Q$64)</f>
        <v>3</v>
      </c>
      <c r="J21" s="32" t="n">
        <f aca="false">SUMIF(07_Term_Matrix!$C$8:$C$64,J$6,07_Term_Matrix!$Q$8:$Q$64)</f>
        <v>1</v>
      </c>
      <c r="K21" s="32" t="n">
        <f aca="false">SUMIF(07_Term_Matrix!$C$8:$C$64,K$6,07_Term_Matrix!$Q$8:$Q$64)</f>
        <v>0</v>
      </c>
      <c r="L21" s="50" t="n">
        <f aca="false">SQRT(SUMSQ(D21:K21))</f>
        <v>3.87298334620742</v>
      </c>
      <c r="M21" s="18"/>
    </row>
    <row r="22" customFormat="false" ht="15" hidden="false" customHeight="true" outlineLevel="0" collapsed="false">
      <c r="B22" s="26" t="s">
        <v>446</v>
      </c>
      <c r="C22" s="18" t="s">
        <v>297</v>
      </c>
      <c r="D22" s="32" t="n">
        <f aca="false">SUMIF(07_Term_Matrix!$C$8:$C$64,D$6,07_Term_Matrix!$R$8:$R$64)</f>
        <v>0</v>
      </c>
      <c r="E22" s="32" t="n">
        <f aca="false">SUMIF(07_Term_Matrix!$C$8:$C$64,E$6,07_Term_Matrix!$R$8:$R$64)</f>
        <v>0</v>
      </c>
      <c r="F22" s="32" t="n">
        <f aca="false">SUMIF(07_Term_Matrix!$C$8:$C$64,F$6,07_Term_Matrix!$R$8:$R$64)</f>
        <v>0</v>
      </c>
      <c r="G22" s="32" t="n">
        <f aca="false">SUMIF(07_Term_Matrix!$C$8:$C$64,G$6,07_Term_Matrix!$R$8:$R$64)</f>
        <v>0</v>
      </c>
      <c r="H22" s="32" t="n">
        <f aca="false">SUMIF(07_Term_Matrix!$C$8:$C$64,H$6,07_Term_Matrix!$R$8:$R$64)</f>
        <v>3</v>
      </c>
      <c r="I22" s="32" t="n">
        <f aca="false">SUMIF(07_Term_Matrix!$C$8:$C$64,I$6,07_Term_Matrix!$R$8:$R$64)</f>
        <v>2</v>
      </c>
      <c r="J22" s="32" t="n">
        <f aca="false">SUMIF(07_Term_Matrix!$C$8:$C$64,J$6,07_Term_Matrix!$R$8:$R$64)</f>
        <v>1</v>
      </c>
      <c r="K22" s="32" t="n">
        <f aca="false">SUMIF(07_Term_Matrix!$C$8:$C$64,K$6,07_Term_Matrix!$R$8:$R$64)</f>
        <v>0</v>
      </c>
      <c r="L22" s="50" t="n">
        <f aca="false">SQRT(SUMSQ(D22:K22))</f>
        <v>3.74165738677394</v>
      </c>
      <c r="M22" s="18"/>
    </row>
    <row r="23" customFormat="false" ht="15" hidden="false" customHeight="true" outlineLevel="0" collapsed="false">
      <c r="B23" s="26" t="s">
        <v>447</v>
      </c>
      <c r="C23" s="18" t="s">
        <v>301</v>
      </c>
      <c r="D23" s="32" t="n">
        <f aca="false">SUMIF(07_Term_Matrix!$C$8:$C$64,D$6,07_Term_Matrix!$S$8:$S$64)</f>
        <v>0</v>
      </c>
      <c r="E23" s="32" t="n">
        <f aca="false">SUMIF(07_Term_Matrix!$C$8:$C$64,E$6,07_Term_Matrix!$S$8:$S$64)</f>
        <v>0</v>
      </c>
      <c r="F23" s="32" t="n">
        <f aca="false">SUMIF(07_Term_Matrix!$C$8:$C$64,F$6,07_Term_Matrix!$S$8:$S$64)</f>
        <v>0</v>
      </c>
      <c r="G23" s="32" t="n">
        <f aca="false">SUMIF(07_Term_Matrix!$C$8:$C$64,G$6,07_Term_Matrix!$S$8:$S$64)</f>
        <v>0</v>
      </c>
      <c r="H23" s="32" t="n">
        <f aca="false">SUMIF(07_Term_Matrix!$C$8:$C$64,H$6,07_Term_Matrix!$S$8:$S$64)</f>
        <v>0</v>
      </c>
      <c r="I23" s="32" t="n">
        <f aca="false">SUMIF(07_Term_Matrix!$C$8:$C$64,I$6,07_Term_Matrix!$S$8:$S$64)</f>
        <v>2</v>
      </c>
      <c r="J23" s="32" t="n">
        <f aca="false">SUMIF(07_Term_Matrix!$C$8:$C$64,J$6,07_Term_Matrix!$S$8:$S$64)</f>
        <v>1</v>
      </c>
      <c r="K23" s="32" t="n">
        <f aca="false">SUMIF(07_Term_Matrix!$C$8:$C$64,K$6,07_Term_Matrix!$S$8:$S$64)</f>
        <v>0</v>
      </c>
      <c r="L23" s="50" t="n">
        <f aca="false">SQRT(SUMSQ(D23:K23))</f>
        <v>2.23606797749979</v>
      </c>
      <c r="M23" s="18"/>
    </row>
    <row r="24" customFormat="false" ht="15" hidden="false" customHeight="true" outlineLevel="0" collapsed="false">
      <c r="B24" s="26" t="s">
        <v>448</v>
      </c>
      <c r="C24" s="18" t="s">
        <v>305</v>
      </c>
      <c r="D24" s="32" t="n">
        <f aca="false">SUMIF(07_Term_Matrix!$C$8:$C$64,D$6,07_Term_Matrix!$T$8:$T$64)</f>
        <v>0</v>
      </c>
      <c r="E24" s="32" t="n">
        <f aca="false">SUMIF(07_Term_Matrix!$C$8:$C$64,E$6,07_Term_Matrix!$T$8:$T$64)</f>
        <v>0</v>
      </c>
      <c r="F24" s="32" t="n">
        <f aca="false">SUMIF(07_Term_Matrix!$C$8:$C$64,F$6,07_Term_Matrix!$T$8:$T$64)</f>
        <v>1</v>
      </c>
      <c r="G24" s="32" t="n">
        <f aca="false">SUMIF(07_Term_Matrix!$C$8:$C$64,G$6,07_Term_Matrix!$T$8:$T$64)</f>
        <v>4</v>
      </c>
      <c r="H24" s="32" t="n">
        <f aca="false">SUMIF(07_Term_Matrix!$C$8:$C$64,H$6,07_Term_Matrix!$T$8:$T$64)</f>
        <v>5</v>
      </c>
      <c r="I24" s="32" t="n">
        <f aca="false">SUMIF(07_Term_Matrix!$C$8:$C$64,I$6,07_Term_Matrix!$T$8:$T$64)</f>
        <v>2</v>
      </c>
      <c r="J24" s="32" t="n">
        <f aca="false">SUMIF(07_Term_Matrix!$C$8:$C$64,J$6,07_Term_Matrix!$T$8:$T$64)</f>
        <v>0</v>
      </c>
      <c r="K24" s="32" t="n">
        <f aca="false">SUMIF(07_Term_Matrix!$C$8:$C$64,K$6,07_Term_Matrix!$T$8:$T$64)</f>
        <v>0</v>
      </c>
      <c r="L24" s="50" t="n">
        <f aca="false">SQRT(SUMSQ(D24:K24))</f>
        <v>6.78232998312527</v>
      </c>
      <c r="M24" s="18" t="s">
        <v>622</v>
      </c>
    </row>
    <row r="25" customFormat="false" ht="15" hidden="false" customHeight="true" outlineLevel="0" collapsed="false">
      <c r="B25" s="26" t="s">
        <v>450</v>
      </c>
      <c r="C25" s="18" t="s">
        <v>305</v>
      </c>
      <c r="D25" s="32" t="n">
        <f aca="false">SUMIF(07_Term_Matrix!$C$8:$C$64,D$6,07_Term_Matrix!$U$8:$U$64)</f>
        <v>0</v>
      </c>
      <c r="E25" s="32" t="n">
        <f aca="false">SUMIF(07_Term_Matrix!$C$8:$C$64,E$6,07_Term_Matrix!$U$8:$U$64)</f>
        <v>0</v>
      </c>
      <c r="F25" s="32" t="n">
        <f aca="false">SUMIF(07_Term_Matrix!$C$8:$C$64,F$6,07_Term_Matrix!$U$8:$U$64)</f>
        <v>0</v>
      </c>
      <c r="G25" s="32" t="n">
        <f aca="false">SUMIF(07_Term_Matrix!$C$8:$C$64,G$6,07_Term_Matrix!$U$8:$U$64)</f>
        <v>2</v>
      </c>
      <c r="H25" s="32" t="n">
        <f aca="false">SUMIF(07_Term_Matrix!$C$8:$C$64,H$6,07_Term_Matrix!$U$8:$U$64)</f>
        <v>4</v>
      </c>
      <c r="I25" s="32" t="n">
        <f aca="false">SUMIF(07_Term_Matrix!$C$8:$C$64,I$6,07_Term_Matrix!$U$8:$U$64)</f>
        <v>2</v>
      </c>
      <c r="J25" s="32" t="n">
        <f aca="false">SUMIF(07_Term_Matrix!$C$8:$C$64,J$6,07_Term_Matrix!$U$8:$U$64)</f>
        <v>1</v>
      </c>
      <c r="K25" s="32" t="n">
        <f aca="false">SUMIF(07_Term_Matrix!$C$8:$C$64,K$6,07_Term_Matrix!$U$8:$U$64)</f>
        <v>0</v>
      </c>
      <c r="L25" s="50" t="n">
        <f aca="false">SQRT(SUMSQ(D25:K25))</f>
        <v>5</v>
      </c>
      <c r="M25" s="18"/>
    </row>
    <row r="26" customFormat="false" ht="15" hidden="false" customHeight="true" outlineLevel="0" collapsed="false">
      <c r="B26" s="26" t="s">
        <v>452</v>
      </c>
      <c r="C26" s="18" t="s">
        <v>309</v>
      </c>
      <c r="D26" s="32" t="n">
        <f aca="false">SUMIF(07_Term_Matrix!$C$8:$C$64,D$6,07_Term_Matrix!$V$8:$V$64)</f>
        <v>0</v>
      </c>
      <c r="E26" s="32" t="n">
        <f aca="false">SUMIF(07_Term_Matrix!$C$8:$C$64,E$6,07_Term_Matrix!$V$8:$V$64)</f>
        <v>0</v>
      </c>
      <c r="F26" s="32" t="n">
        <f aca="false">SUMIF(07_Term_Matrix!$C$8:$C$64,F$6,07_Term_Matrix!$V$8:$V$64)</f>
        <v>0</v>
      </c>
      <c r="G26" s="32" t="n">
        <f aca="false">SUMIF(07_Term_Matrix!$C$8:$C$64,G$6,07_Term_Matrix!$V$8:$V$64)</f>
        <v>0</v>
      </c>
      <c r="H26" s="32" t="n">
        <f aca="false">SUMIF(07_Term_Matrix!$C$8:$C$64,H$6,07_Term_Matrix!$V$8:$V$64)</f>
        <v>4</v>
      </c>
      <c r="I26" s="32" t="n">
        <f aca="false">SUMIF(07_Term_Matrix!$C$8:$C$64,I$6,07_Term_Matrix!$V$8:$V$64)</f>
        <v>1</v>
      </c>
      <c r="J26" s="32" t="n">
        <f aca="false">SUMIF(07_Term_Matrix!$C$8:$C$64,J$6,07_Term_Matrix!$V$8:$V$64)</f>
        <v>2</v>
      </c>
      <c r="K26" s="32" t="n">
        <f aca="false">SUMIF(07_Term_Matrix!$C$8:$C$64,K$6,07_Term_Matrix!$V$8:$V$64)</f>
        <v>0</v>
      </c>
      <c r="L26" s="50" t="n">
        <f aca="false">SQRT(SUMSQ(D26:K26))</f>
        <v>4.58257569495584</v>
      </c>
      <c r="M26" s="18"/>
    </row>
    <row r="27" customFormat="false" ht="6.75" hidden="false" customHeight="true" outlineLevel="0" collapsed="false"/>
    <row r="28" customFormat="false" ht="21.75" hidden="false" customHeight="true" outlineLevel="0" collapsed="false">
      <c r="B28" s="3" t="s">
        <v>623</v>
      </c>
      <c r="C28" s="3"/>
      <c r="D28" s="3"/>
      <c r="E28" s="3"/>
      <c r="F28" s="3"/>
      <c r="G28" s="3"/>
      <c r="H28" s="3"/>
      <c r="I28" s="3"/>
      <c r="J28" s="3"/>
      <c r="K28" s="3"/>
      <c r="L28" s="3"/>
    </row>
    <row r="29" customFormat="false" ht="30" hidden="false" customHeight="true" outlineLevel="0" collapsed="false">
      <c r="B29" s="11" t="s">
        <v>604</v>
      </c>
      <c r="C29" s="11" t="s">
        <v>250</v>
      </c>
      <c r="D29" s="11" t="s">
        <v>464</v>
      </c>
      <c r="E29" s="11" t="s">
        <v>471</v>
      </c>
      <c r="F29" s="11" t="s">
        <v>483</v>
      </c>
      <c r="G29" s="11" t="s">
        <v>489</v>
      </c>
      <c r="H29" s="11" t="s">
        <v>500</v>
      </c>
      <c r="I29" s="11" t="s">
        <v>511</v>
      </c>
      <c r="J29" s="11" t="s">
        <v>519</v>
      </c>
      <c r="K29" s="11" t="s">
        <v>524</v>
      </c>
      <c r="L29" s="11" t="s">
        <v>624</v>
      </c>
      <c r="M29" s="11" t="s">
        <v>625</v>
      </c>
    </row>
    <row r="30" customFormat="false" ht="15.75" hidden="false" customHeight="true" outlineLevel="0" collapsed="false">
      <c r="B30" s="47" t="s">
        <v>615</v>
      </c>
      <c r="C30" s="12"/>
      <c r="D30" s="51" t="n">
        <f aca="false">IFERROR(D8/$L8,0)</f>
        <v>0</v>
      </c>
      <c r="E30" s="51" t="n">
        <f aca="false">IFERROR(E8/$L8,0)</f>
        <v>0.408248290463863</v>
      </c>
      <c r="F30" s="51" t="n">
        <f aca="false">IFERROR(F8/$L8,0)</f>
        <v>0.816496580927726</v>
      </c>
      <c r="G30" s="51" t="n">
        <f aca="false">IFERROR(G8/$L8,0)</f>
        <v>0.408248290463863</v>
      </c>
      <c r="H30" s="51" t="n">
        <f aca="false">IFERROR(H8/$L8,0)</f>
        <v>0</v>
      </c>
      <c r="I30" s="51" t="n">
        <f aca="false">IFERROR(I8/$L8,0)</f>
        <v>0</v>
      </c>
      <c r="J30" s="51" t="n">
        <f aca="false">IFERROR(J8/$L8,0)</f>
        <v>0</v>
      </c>
      <c r="K30" s="51" t="n">
        <f aca="false">IFERROR(K8/$L8,0)</f>
        <v>0</v>
      </c>
      <c r="L30" s="49" t="n">
        <f aca="false">SQRT(SUMSQ(D30:K30))</f>
        <v>1</v>
      </c>
      <c r="M30" s="12" t="s">
        <v>626</v>
      </c>
    </row>
    <row r="31" customFormat="false" ht="15" hidden="false" customHeight="true" outlineLevel="0" collapsed="false">
      <c r="B31" s="26" t="s">
        <v>424</v>
      </c>
      <c r="C31" s="18" t="s">
        <v>256</v>
      </c>
      <c r="D31" s="52" t="n">
        <f aca="false">D9/$L9</f>
        <v>0.514495755427527</v>
      </c>
      <c r="E31" s="52" t="n">
        <f aca="false">E9/$L9</f>
        <v>0</v>
      </c>
      <c r="F31" s="52" t="n">
        <f aca="false">F9/$L9</f>
        <v>0</v>
      </c>
      <c r="G31" s="52" t="n">
        <f aca="false">G9/$L9</f>
        <v>0</v>
      </c>
      <c r="H31" s="52" t="n">
        <f aca="false">H9/$L9</f>
        <v>0</v>
      </c>
      <c r="I31" s="52" t="n">
        <f aca="false">I9/$L9</f>
        <v>0.685994340570035</v>
      </c>
      <c r="J31" s="52" t="n">
        <f aca="false">J9/$L9</f>
        <v>0.514495755427527</v>
      </c>
      <c r="K31" s="52" t="n">
        <f aca="false">K9/$L9</f>
        <v>0</v>
      </c>
      <c r="L31" s="52" t="n">
        <f aca="false">SQRT(SUMSQ(D31:K31))</f>
        <v>1</v>
      </c>
      <c r="M31" s="18"/>
    </row>
    <row r="32" customFormat="false" ht="15" hidden="false" customHeight="true" outlineLevel="0" collapsed="false">
      <c r="B32" s="26" t="s">
        <v>427</v>
      </c>
      <c r="C32" s="18" t="s">
        <v>256</v>
      </c>
      <c r="D32" s="52" t="n">
        <f aca="false">D10/$L10</f>
        <v>0.942809041582064</v>
      </c>
      <c r="E32" s="52" t="n">
        <f aca="false">E10/$L10</f>
        <v>0</v>
      </c>
      <c r="F32" s="52" t="n">
        <f aca="false">F10/$L10</f>
        <v>0</v>
      </c>
      <c r="G32" s="52" t="n">
        <f aca="false">G10/$L10</f>
        <v>0</v>
      </c>
      <c r="H32" s="52" t="n">
        <f aca="false">H10/$L10</f>
        <v>0</v>
      </c>
      <c r="I32" s="52" t="n">
        <f aca="false">I10/$L10</f>
        <v>0.235702260395516</v>
      </c>
      <c r="J32" s="52" t="n">
        <f aca="false">J10/$L10</f>
        <v>0.235702260395516</v>
      </c>
      <c r="K32" s="52" t="n">
        <f aca="false">K10/$L10</f>
        <v>0</v>
      </c>
      <c r="L32" s="52" t="n">
        <f aca="false">SQRT(SUMSQ(D32:K32))</f>
        <v>1</v>
      </c>
      <c r="M32" s="18"/>
    </row>
    <row r="33" customFormat="false" ht="15" hidden="false" customHeight="true" outlineLevel="0" collapsed="false">
      <c r="B33" s="26" t="s">
        <v>430</v>
      </c>
      <c r="C33" s="18" t="s">
        <v>261</v>
      </c>
      <c r="D33" s="52" t="n">
        <f aca="false">D11/$L11</f>
        <v>0.4</v>
      </c>
      <c r="E33" s="52" t="n">
        <f aca="false">E11/$L11</f>
        <v>0.2</v>
      </c>
      <c r="F33" s="52" t="n">
        <f aca="false">F11/$L11</f>
        <v>0</v>
      </c>
      <c r="G33" s="52" t="n">
        <f aca="false">G11/$L11</f>
        <v>0</v>
      </c>
      <c r="H33" s="52" t="n">
        <f aca="false">H11/$L11</f>
        <v>0</v>
      </c>
      <c r="I33" s="52" t="n">
        <f aca="false">I11/$L11</f>
        <v>0</v>
      </c>
      <c r="J33" s="52" t="n">
        <f aca="false">J11/$L11</f>
        <v>0.4</v>
      </c>
      <c r="K33" s="52" t="n">
        <f aca="false">K11/$L11</f>
        <v>0.8</v>
      </c>
      <c r="L33" s="52" t="n">
        <f aca="false">SQRT(SUMSQ(D33:K33))</f>
        <v>1</v>
      </c>
      <c r="M33" s="18"/>
    </row>
    <row r="34" customFormat="false" ht="15" hidden="false" customHeight="true" outlineLevel="0" collapsed="false">
      <c r="B34" s="26" t="s">
        <v>432</v>
      </c>
      <c r="C34" s="18" t="s">
        <v>265</v>
      </c>
      <c r="D34" s="52" t="n">
        <f aca="false">D12/$L12</f>
        <v>0.956182887467515</v>
      </c>
      <c r="E34" s="52" t="n">
        <f aca="false">E12/$L12</f>
        <v>0.119522860933439</v>
      </c>
      <c r="F34" s="52" t="n">
        <f aca="false">F12/$L12</f>
        <v>0</v>
      </c>
      <c r="G34" s="52" t="n">
        <f aca="false">G12/$L12</f>
        <v>0</v>
      </c>
      <c r="H34" s="52" t="n">
        <f aca="false">H12/$L12</f>
        <v>0</v>
      </c>
      <c r="I34" s="52" t="n">
        <f aca="false">I12/$L12</f>
        <v>0.239045721866879</v>
      </c>
      <c r="J34" s="52" t="n">
        <f aca="false">J12/$L12</f>
        <v>0.119522860933439</v>
      </c>
      <c r="K34" s="52" t="n">
        <f aca="false">K12/$L12</f>
        <v>0</v>
      </c>
      <c r="L34" s="52" t="n">
        <f aca="false">SQRT(SUMSQ(D34:K34))</f>
        <v>1</v>
      </c>
      <c r="M34" s="18"/>
    </row>
    <row r="35" customFormat="false" ht="15" hidden="false" customHeight="true" outlineLevel="0" collapsed="false">
      <c r="B35" s="26" t="s">
        <v>433</v>
      </c>
      <c r="C35" s="18" t="s">
        <v>269</v>
      </c>
      <c r="D35" s="52" t="n">
        <f aca="false">D13/$L13</f>
        <v>0</v>
      </c>
      <c r="E35" s="52" t="n">
        <f aca="false">E13/$L13</f>
        <v>0.577350269189626</v>
      </c>
      <c r="F35" s="52" t="n">
        <f aca="false">F13/$L13</f>
        <v>0</v>
      </c>
      <c r="G35" s="52" t="n">
        <f aca="false">G13/$L13</f>
        <v>0</v>
      </c>
      <c r="H35" s="52" t="n">
        <f aca="false">H13/$L13</f>
        <v>0</v>
      </c>
      <c r="I35" s="52" t="n">
        <f aca="false">I13/$L13</f>
        <v>0.577350269189626</v>
      </c>
      <c r="J35" s="52" t="n">
        <f aca="false">J13/$L13</f>
        <v>0.577350269189626</v>
      </c>
      <c r="K35" s="52" t="n">
        <f aca="false">K13/$L13</f>
        <v>0</v>
      </c>
      <c r="L35" s="52" t="n">
        <f aca="false">SQRT(SUMSQ(D35:K35))</f>
        <v>1</v>
      </c>
      <c r="M35" s="18"/>
    </row>
    <row r="36" customFormat="false" ht="15" hidden="false" customHeight="true" outlineLevel="0" collapsed="false">
      <c r="B36" s="26" t="s">
        <v>434</v>
      </c>
      <c r="C36" s="18" t="s">
        <v>273</v>
      </c>
      <c r="D36" s="52" t="n">
        <f aca="false">D14/$L14</f>
        <v>0</v>
      </c>
      <c r="E36" s="52" t="n">
        <f aca="false">E14/$L14</f>
        <v>0.986393923832144</v>
      </c>
      <c r="F36" s="52" t="n">
        <f aca="false">F14/$L14</f>
        <v>0</v>
      </c>
      <c r="G36" s="52" t="n">
        <f aca="false">G14/$L14</f>
        <v>0</v>
      </c>
      <c r="H36" s="52" t="n">
        <f aca="false">H14/$L14</f>
        <v>0</v>
      </c>
      <c r="I36" s="52" t="n">
        <f aca="false">I14/$L14</f>
        <v>0</v>
      </c>
      <c r="J36" s="52" t="n">
        <f aca="false">J14/$L14</f>
        <v>0.164398987305357</v>
      </c>
      <c r="K36" s="52" t="n">
        <f aca="false">K14/$L14</f>
        <v>0</v>
      </c>
      <c r="L36" s="52" t="n">
        <f aca="false">SQRT(SUMSQ(D36:K36))</f>
        <v>1</v>
      </c>
      <c r="M36" s="18"/>
    </row>
    <row r="37" customFormat="false" ht="15" hidden="false" customHeight="true" outlineLevel="0" collapsed="false">
      <c r="B37" s="26" t="s">
        <v>435</v>
      </c>
      <c r="C37" s="18" t="s">
        <v>277</v>
      </c>
      <c r="D37" s="52" t="n">
        <f aca="false">D15/$L15</f>
        <v>0</v>
      </c>
      <c r="E37" s="52" t="n">
        <f aca="false">E15/$L15</f>
        <v>0.953462589245592</v>
      </c>
      <c r="F37" s="52" t="n">
        <f aca="false">F15/$L15</f>
        <v>0</v>
      </c>
      <c r="G37" s="52" t="n">
        <f aca="false">G15/$L15</f>
        <v>0</v>
      </c>
      <c r="H37" s="52" t="n">
        <f aca="false">H15/$L15</f>
        <v>0</v>
      </c>
      <c r="I37" s="52" t="n">
        <f aca="false">I15/$L15</f>
        <v>0.286038776773678</v>
      </c>
      <c r="J37" s="52" t="n">
        <f aca="false">J15/$L15</f>
        <v>0.0953462589245592</v>
      </c>
      <c r="K37" s="52" t="n">
        <f aca="false">K15/$L15</f>
        <v>0</v>
      </c>
      <c r="L37" s="52" t="n">
        <f aca="false">SQRT(SUMSQ(D37:K37))</f>
        <v>1</v>
      </c>
      <c r="M37" s="18"/>
    </row>
    <row r="38" customFormat="false" ht="15" hidden="false" customHeight="true" outlineLevel="0" collapsed="false">
      <c r="B38" s="26" t="s">
        <v>437</v>
      </c>
      <c r="C38" s="18" t="s">
        <v>277</v>
      </c>
      <c r="D38" s="52" t="n">
        <f aca="false">D16/$L16</f>
        <v>0</v>
      </c>
      <c r="E38" s="52" t="n">
        <f aca="false">E16/$L16</f>
        <v>0.875189948987367</v>
      </c>
      <c r="F38" s="52" t="n">
        <f aca="false">F16/$L16</f>
        <v>0.437594974493684</v>
      </c>
      <c r="G38" s="52" t="n">
        <f aca="false">G16/$L16</f>
        <v>0.145864991497895</v>
      </c>
      <c r="H38" s="52" t="n">
        <f aca="false">H16/$L16</f>
        <v>0</v>
      </c>
      <c r="I38" s="52" t="n">
        <f aca="false">I16/$L16</f>
        <v>0.145864991497895</v>
      </c>
      <c r="J38" s="52" t="n">
        <f aca="false">J16/$L16</f>
        <v>0</v>
      </c>
      <c r="K38" s="52" t="n">
        <f aca="false">K16/$L16</f>
        <v>0</v>
      </c>
      <c r="L38" s="52" t="n">
        <f aca="false">SQRT(SUMSQ(D38:K38))</f>
        <v>1</v>
      </c>
      <c r="M38" s="18"/>
    </row>
    <row r="39" customFormat="false" ht="15" hidden="false" customHeight="true" outlineLevel="0" collapsed="false">
      <c r="B39" s="26" t="s">
        <v>439</v>
      </c>
      <c r="C39" s="18" t="s">
        <v>281</v>
      </c>
      <c r="D39" s="52" t="n">
        <f aca="false">D17/$L17</f>
        <v>0</v>
      </c>
      <c r="E39" s="52" t="n">
        <f aca="false">E17/$L17</f>
        <v>0</v>
      </c>
      <c r="F39" s="52" t="n">
        <f aca="false">F17/$L17</f>
        <v>0.784464540552736</v>
      </c>
      <c r="G39" s="52" t="n">
        <f aca="false">G17/$L17</f>
        <v>0</v>
      </c>
      <c r="H39" s="52" t="n">
        <f aca="false">H17/$L17</f>
        <v>0</v>
      </c>
      <c r="I39" s="52" t="n">
        <f aca="false">I17/$L17</f>
        <v>0.196116135138184</v>
      </c>
      <c r="J39" s="52" t="n">
        <f aca="false">J17/$L17</f>
        <v>0.588348405414552</v>
      </c>
      <c r="K39" s="52" t="n">
        <f aca="false">K17/$L17</f>
        <v>0</v>
      </c>
      <c r="L39" s="52" t="n">
        <f aca="false">SQRT(SUMSQ(D39:K39))</f>
        <v>1</v>
      </c>
      <c r="M39" s="18"/>
    </row>
    <row r="40" customFormat="false" ht="15" hidden="false" customHeight="true" outlineLevel="0" collapsed="false">
      <c r="B40" s="26" t="s">
        <v>440</v>
      </c>
      <c r="C40" s="18" t="s">
        <v>285</v>
      </c>
      <c r="D40" s="52" t="n">
        <f aca="false">D18/$L18</f>
        <v>0</v>
      </c>
      <c r="E40" s="52" t="n">
        <f aca="false">E18/$L18</f>
        <v>0.404519917477945</v>
      </c>
      <c r="F40" s="52" t="n">
        <f aca="false">F18/$L18</f>
        <v>0.404519917477945</v>
      </c>
      <c r="G40" s="52" t="n">
        <f aca="false">G18/$L18</f>
        <v>0.809039834955891</v>
      </c>
      <c r="H40" s="52" t="n">
        <f aca="false">H18/$L18</f>
        <v>0</v>
      </c>
      <c r="I40" s="52" t="n">
        <f aca="false">I18/$L18</f>
        <v>0</v>
      </c>
      <c r="J40" s="52" t="n">
        <f aca="false">J18/$L18</f>
        <v>0.134839972492648</v>
      </c>
      <c r="K40" s="52" t="n">
        <f aca="false">K18/$L18</f>
        <v>0</v>
      </c>
      <c r="L40" s="52" t="n">
        <f aca="false">SQRT(SUMSQ(D40:K40))</f>
        <v>1</v>
      </c>
      <c r="M40" s="18"/>
    </row>
    <row r="41" customFormat="false" ht="15" hidden="false" customHeight="true" outlineLevel="0" collapsed="false">
      <c r="B41" s="26" t="s">
        <v>442</v>
      </c>
      <c r="C41" s="18" t="s">
        <v>285</v>
      </c>
      <c r="D41" s="52" t="n">
        <f aca="false">D19/$L19</f>
        <v>0.134839972492648</v>
      </c>
      <c r="E41" s="52" t="n">
        <f aca="false">E19/$L19</f>
        <v>0.674199862463242</v>
      </c>
      <c r="F41" s="52" t="n">
        <f aca="false">F19/$L19</f>
        <v>0.269679944985297</v>
      </c>
      <c r="G41" s="52" t="n">
        <f aca="false">G19/$L19</f>
        <v>0.674199862463242</v>
      </c>
      <c r="H41" s="52" t="n">
        <f aca="false">H19/$L19</f>
        <v>0</v>
      </c>
      <c r="I41" s="52" t="n">
        <f aca="false">I19/$L19</f>
        <v>0</v>
      </c>
      <c r="J41" s="52" t="n">
        <f aca="false">J19/$L19</f>
        <v>0</v>
      </c>
      <c r="K41" s="52" t="n">
        <f aca="false">K19/$L19</f>
        <v>0</v>
      </c>
      <c r="L41" s="52" t="n">
        <f aca="false">SQRT(SUMSQ(D41:K41))</f>
        <v>1</v>
      </c>
      <c r="M41" s="18"/>
    </row>
    <row r="42" customFormat="false" ht="15" hidden="false" customHeight="true" outlineLevel="0" collapsed="false">
      <c r="B42" s="26" t="s">
        <v>444</v>
      </c>
      <c r="C42" s="18" t="s">
        <v>289</v>
      </c>
      <c r="D42" s="52" t="n">
        <f aca="false">D20/$L20</f>
        <v>0</v>
      </c>
      <c r="E42" s="52" t="n">
        <f aca="false">E20/$L20</f>
        <v>0</v>
      </c>
      <c r="F42" s="52" t="n">
        <f aca="false">F20/$L20</f>
        <v>0</v>
      </c>
      <c r="G42" s="52" t="n">
        <f aca="false">G20/$L20</f>
        <v>0.816496580927726</v>
      </c>
      <c r="H42" s="52" t="n">
        <f aca="false">H20/$L20</f>
        <v>0.408248290463863</v>
      </c>
      <c r="I42" s="52" t="n">
        <f aca="false">I20/$L20</f>
        <v>0.408248290463863</v>
      </c>
      <c r="J42" s="52" t="n">
        <f aca="false">J20/$L20</f>
        <v>0</v>
      </c>
      <c r="K42" s="52" t="n">
        <f aca="false">K20/$L20</f>
        <v>0</v>
      </c>
      <c r="L42" s="52" t="n">
        <f aca="false">SQRT(SUMSQ(D42:K42))</f>
        <v>1</v>
      </c>
      <c r="M42" s="18"/>
    </row>
    <row r="43" customFormat="false" ht="15" hidden="false" customHeight="true" outlineLevel="0" collapsed="false">
      <c r="B43" s="26" t="s">
        <v>445</v>
      </c>
      <c r="C43" s="18" t="s">
        <v>294</v>
      </c>
      <c r="D43" s="52" t="n">
        <f aca="false">D21/$L21</f>
        <v>0</v>
      </c>
      <c r="E43" s="52" t="n">
        <f aca="false">E21/$L21</f>
        <v>0</v>
      </c>
      <c r="F43" s="52" t="n">
        <f aca="false">F21/$L21</f>
        <v>0</v>
      </c>
      <c r="G43" s="52" t="n">
        <f aca="false">G21/$L21</f>
        <v>0.516397779494322</v>
      </c>
      <c r="H43" s="52" t="n">
        <f aca="false">H21/$L21</f>
        <v>0.258198889747161</v>
      </c>
      <c r="I43" s="52" t="n">
        <f aca="false">I21/$L21</f>
        <v>0.774596669241483</v>
      </c>
      <c r="J43" s="52" t="n">
        <f aca="false">J21/$L21</f>
        <v>0.258198889747161</v>
      </c>
      <c r="K43" s="52" t="n">
        <f aca="false">K21/$L21</f>
        <v>0</v>
      </c>
      <c r="L43" s="52" t="n">
        <f aca="false">SQRT(SUMSQ(D43:K43))</f>
        <v>1</v>
      </c>
      <c r="M43" s="18"/>
    </row>
    <row r="44" customFormat="false" ht="15" hidden="false" customHeight="true" outlineLevel="0" collapsed="false">
      <c r="B44" s="26" t="s">
        <v>446</v>
      </c>
      <c r="C44" s="18" t="s">
        <v>297</v>
      </c>
      <c r="D44" s="52" t="n">
        <f aca="false">D22/$L22</f>
        <v>0</v>
      </c>
      <c r="E44" s="52" t="n">
        <f aca="false">E22/$L22</f>
        <v>0</v>
      </c>
      <c r="F44" s="52" t="n">
        <f aca="false">F22/$L22</f>
        <v>0</v>
      </c>
      <c r="G44" s="52" t="n">
        <f aca="false">G22/$L22</f>
        <v>0</v>
      </c>
      <c r="H44" s="52" t="n">
        <f aca="false">H22/$L22</f>
        <v>0.801783725737273</v>
      </c>
      <c r="I44" s="52" t="n">
        <f aca="false">I22/$L22</f>
        <v>0.534522483824849</v>
      </c>
      <c r="J44" s="52" t="n">
        <f aca="false">J22/$L22</f>
        <v>0.267261241912424</v>
      </c>
      <c r="K44" s="52" t="n">
        <f aca="false">K22/$L22</f>
        <v>0</v>
      </c>
      <c r="L44" s="52" t="n">
        <f aca="false">SQRT(SUMSQ(D44:K44))</f>
        <v>1</v>
      </c>
      <c r="M44" s="18"/>
    </row>
    <row r="45" customFormat="false" ht="15" hidden="false" customHeight="true" outlineLevel="0" collapsed="false">
      <c r="B45" s="26" t="s">
        <v>447</v>
      </c>
      <c r="C45" s="18" t="s">
        <v>301</v>
      </c>
      <c r="D45" s="52" t="n">
        <f aca="false">D23/$L23</f>
        <v>0</v>
      </c>
      <c r="E45" s="52" t="n">
        <f aca="false">E23/$L23</f>
        <v>0</v>
      </c>
      <c r="F45" s="52" t="n">
        <f aca="false">F23/$L23</f>
        <v>0</v>
      </c>
      <c r="G45" s="52" t="n">
        <f aca="false">G23/$L23</f>
        <v>0</v>
      </c>
      <c r="H45" s="52" t="n">
        <f aca="false">H23/$L23</f>
        <v>0</v>
      </c>
      <c r="I45" s="52" t="n">
        <f aca="false">I23/$L23</f>
        <v>0.894427190999916</v>
      </c>
      <c r="J45" s="52" t="n">
        <f aca="false">J23/$L23</f>
        <v>0.447213595499958</v>
      </c>
      <c r="K45" s="52" t="n">
        <f aca="false">K23/$L23</f>
        <v>0</v>
      </c>
      <c r="L45" s="52" t="n">
        <f aca="false">SQRT(SUMSQ(D45:K45))</f>
        <v>1</v>
      </c>
      <c r="M45" s="18"/>
    </row>
    <row r="46" customFormat="false" ht="15" hidden="false" customHeight="true" outlineLevel="0" collapsed="false">
      <c r="B46" s="26" t="s">
        <v>448</v>
      </c>
      <c r="C46" s="18" t="s">
        <v>305</v>
      </c>
      <c r="D46" s="52" t="n">
        <f aca="false">D24/$L24</f>
        <v>0</v>
      </c>
      <c r="E46" s="52" t="n">
        <f aca="false">E24/$L24</f>
        <v>0</v>
      </c>
      <c r="F46" s="52" t="n">
        <f aca="false">F24/$L24</f>
        <v>0.147441956154897</v>
      </c>
      <c r="G46" s="52" t="n">
        <f aca="false">G24/$L24</f>
        <v>0.589767824619589</v>
      </c>
      <c r="H46" s="52" t="n">
        <f aca="false">H24/$L24</f>
        <v>0.737209780774486</v>
      </c>
      <c r="I46" s="52" t="n">
        <f aca="false">I24/$L24</f>
        <v>0.294883912309794</v>
      </c>
      <c r="J46" s="52" t="n">
        <f aca="false">J24/$L24</f>
        <v>0</v>
      </c>
      <c r="K46" s="52" t="n">
        <f aca="false">K24/$L24</f>
        <v>0</v>
      </c>
      <c r="L46" s="52" t="n">
        <f aca="false">SQRT(SUMSQ(D46:K46))</f>
        <v>1</v>
      </c>
      <c r="M46" s="18"/>
    </row>
    <row r="47" customFormat="false" ht="15" hidden="false" customHeight="true" outlineLevel="0" collapsed="false">
      <c r="B47" s="26" t="s">
        <v>450</v>
      </c>
      <c r="C47" s="18" t="s">
        <v>305</v>
      </c>
      <c r="D47" s="52" t="n">
        <f aca="false">D25/$L25</f>
        <v>0</v>
      </c>
      <c r="E47" s="52" t="n">
        <f aca="false">E25/$L25</f>
        <v>0</v>
      </c>
      <c r="F47" s="52" t="n">
        <f aca="false">F25/$L25</f>
        <v>0</v>
      </c>
      <c r="G47" s="52" t="n">
        <f aca="false">G25/$L25</f>
        <v>0.4</v>
      </c>
      <c r="H47" s="52" t="n">
        <f aca="false">H25/$L25</f>
        <v>0.8</v>
      </c>
      <c r="I47" s="52" t="n">
        <f aca="false">I25/$L25</f>
        <v>0.4</v>
      </c>
      <c r="J47" s="52" t="n">
        <f aca="false">J25/$L25</f>
        <v>0.2</v>
      </c>
      <c r="K47" s="52" t="n">
        <f aca="false">K25/$L25</f>
        <v>0</v>
      </c>
      <c r="L47" s="52" t="n">
        <f aca="false">SQRT(SUMSQ(D47:K47))</f>
        <v>1</v>
      </c>
      <c r="M47" s="18"/>
    </row>
    <row r="48" customFormat="false" ht="15" hidden="false" customHeight="true" outlineLevel="0" collapsed="false">
      <c r="B48" s="26" t="s">
        <v>452</v>
      </c>
      <c r="C48" s="18" t="s">
        <v>309</v>
      </c>
      <c r="D48" s="52" t="n">
        <f aca="false">D26/$L26</f>
        <v>0</v>
      </c>
      <c r="E48" s="52" t="n">
        <f aca="false">E26/$L26</f>
        <v>0</v>
      </c>
      <c r="F48" s="52" t="n">
        <f aca="false">F26/$L26</f>
        <v>0</v>
      </c>
      <c r="G48" s="52" t="n">
        <f aca="false">G26/$L26</f>
        <v>0</v>
      </c>
      <c r="H48" s="52" t="n">
        <f aca="false">H26/$L26</f>
        <v>0.87287156094397</v>
      </c>
      <c r="I48" s="52" t="n">
        <f aca="false">I26/$L26</f>
        <v>0.218217890235992</v>
      </c>
      <c r="J48" s="52" t="n">
        <f aca="false">J26/$L26</f>
        <v>0.436435780471985</v>
      </c>
      <c r="K48" s="52" t="n">
        <f aca="false">K26/$L26</f>
        <v>0</v>
      </c>
      <c r="L48" s="52" t="n">
        <f aca="false">SQRT(SUMSQ(D48:K48))</f>
        <v>1</v>
      </c>
      <c r="M48" s="18"/>
    </row>
    <row r="49" customFormat="false" ht="6.75" hidden="false" customHeight="true" outlineLevel="0" collapsed="false"/>
    <row r="50" customFormat="false" ht="21.75" hidden="false" customHeight="true" outlineLevel="0" collapsed="false">
      <c r="B50" s="3" t="s">
        <v>627</v>
      </c>
      <c r="C50" s="3"/>
      <c r="D50" s="3"/>
      <c r="E50" s="3"/>
      <c r="F50" s="3"/>
      <c r="G50" s="3"/>
      <c r="H50" s="3"/>
      <c r="I50" s="3"/>
      <c r="J50" s="3"/>
      <c r="K50" s="3"/>
      <c r="L50" s="3"/>
    </row>
    <row r="51" customFormat="false" ht="42.75" hidden="false" customHeight="true" outlineLevel="0" collapsed="false">
      <c r="B51" s="4" t="s">
        <v>628</v>
      </c>
      <c r="C51" s="4"/>
      <c r="D51" s="4"/>
      <c r="E51" s="4"/>
      <c r="F51" s="4"/>
      <c r="G51" s="4"/>
      <c r="H51" s="4"/>
      <c r="I51" s="4"/>
      <c r="J51" s="4"/>
      <c r="K51" s="4"/>
      <c r="L51" s="4"/>
    </row>
    <row r="52" customFormat="false" ht="31.5" hidden="false" customHeight="true" outlineLevel="0" collapsed="false">
      <c r="B52" s="10" t="s">
        <v>629</v>
      </c>
      <c r="C52" s="10"/>
      <c r="D52" s="10"/>
      <c r="E52" s="10"/>
      <c r="F52" s="10"/>
      <c r="G52" s="10"/>
      <c r="H52" s="10"/>
      <c r="I52" s="10"/>
      <c r="J52" s="10"/>
      <c r="K52" s="10"/>
      <c r="L52" s="10"/>
    </row>
    <row r="53" customFormat="false" ht="57.75" hidden="false" customHeight="true" outlineLevel="0" collapsed="false">
      <c r="B53" s="34" t="s">
        <v>630</v>
      </c>
      <c r="C53" s="34"/>
      <c r="D53" s="34"/>
      <c r="E53" s="34"/>
      <c r="F53" s="34"/>
      <c r="G53" s="34"/>
      <c r="H53" s="34"/>
      <c r="I53" s="34"/>
      <c r="J53" s="34"/>
      <c r="K53" s="34"/>
      <c r="L53" s="34"/>
    </row>
  </sheetData>
  <mergeCells count="8">
    <mergeCell ref="B2:L2"/>
    <mergeCell ref="B3:L3"/>
    <mergeCell ref="B5:L5"/>
    <mergeCell ref="B28:L28"/>
    <mergeCell ref="B50:L50"/>
    <mergeCell ref="B51:L51"/>
    <mergeCell ref="B52:L52"/>
    <mergeCell ref="B53:L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L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10" min="3" style="0" width="11"/>
    <col collapsed="false" customWidth="true" hidden="false" outlineLevel="0" max="11" min="11" style="0" width="13"/>
    <col collapsed="false" customWidth="true" hidden="false" outlineLevel="0" max="12" min="12" style="0" width="46"/>
  </cols>
  <sheetData>
    <row r="2" customFormat="false" ht="30" hidden="false" customHeight="true" outlineLevel="0" collapsed="false">
      <c r="B2" s="1" t="s">
        <v>631</v>
      </c>
      <c r="C2" s="1"/>
      <c r="D2" s="1"/>
      <c r="E2" s="1"/>
      <c r="F2" s="1"/>
      <c r="G2" s="1"/>
      <c r="H2" s="1"/>
      <c r="I2" s="1"/>
      <c r="J2" s="1"/>
      <c r="K2" s="1"/>
    </row>
    <row r="3" customFormat="false" ht="19.5" hidden="false" customHeight="true" outlineLevel="0" collapsed="false">
      <c r="B3" s="2" t="s">
        <v>632</v>
      </c>
      <c r="C3" s="2"/>
      <c r="D3" s="2"/>
      <c r="E3" s="2"/>
      <c r="F3" s="2"/>
      <c r="G3" s="2"/>
      <c r="H3" s="2"/>
      <c r="I3" s="2"/>
      <c r="J3" s="2"/>
      <c r="K3" s="2"/>
    </row>
    <row r="4" customFormat="false" ht="6.75" hidden="false" customHeight="true" outlineLevel="0" collapsed="false"/>
    <row r="5" customFormat="false" ht="21.75" hidden="false" customHeight="true" outlineLevel="0" collapsed="false">
      <c r="B5" s="3" t="s">
        <v>633</v>
      </c>
      <c r="C5" s="3"/>
      <c r="D5" s="3"/>
      <c r="E5" s="3"/>
      <c r="F5" s="3"/>
      <c r="G5" s="3"/>
      <c r="H5" s="3"/>
      <c r="I5" s="3"/>
      <c r="J5" s="3"/>
      <c r="K5" s="3"/>
    </row>
    <row r="6" customFormat="false" ht="55.5" hidden="false" customHeight="true" outlineLevel="0" collapsed="false">
      <c r="B6" s="4" t="s">
        <v>634</v>
      </c>
      <c r="C6" s="4"/>
      <c r="D6" s="4"/>
      <c r="E6" s="4"/>
      <c r="F6" s="4"/>
      <c r="G6" s="4"/>
      <c r="H6" s="4"/>
      <c r="I6" s="4"/>
      <c r="J6" s="4"/>
      <c r="K6" s="4"/>
    </row>
    <row r="7" customFormat="false" ht="6.75" hidden="false" customHeight="true" outlineLevel="0" collapsed="false"/>
    <row r="8" customFormat="false" ht="21.75" hidden="false" customHeight="true" outlineLevel="0" collapsed="false">
      <c r="B8" s="3" t="s">
        <v>635</v>
      </c>
      <c r="C8" s="3"/>
      <c r="D8" s="3"/>
      <c r="E8" s="3"/>
      <c r="F8" s="3"/>
      <c r="G8" s="3"/>
      <c r="H8" s="3"/>
      <c r="I8" s="3"/>
      <c r="J8" s="3"/>
      <c r="K8" s="3"/>
    </row>
    <row r="9" customFormat="false" ht="30" hidden="false" customHeight="true" outlineLevel="0" collapsed="false">
      <c r="B9" s="11" t="s">
        <v>636</v>
      </c>
      <c r="C9" s="11" t="s">
        <v>464</v>
      </c>
      <c r="D9" s="11" t="s">
        <v>471</v>
      </c>
      <c r="E9" s="11" t="s">
        <v>483</v>
      </c>
      <c r="F9" s="11" t="s">
        <v>489</v>
      </c>
      <c r="G9" s="11" t="s">
        <v>500</v>
      </c>
      <c r="H9" s="11" t="s">
        <v>511</v>
      </c>
      <c r="I9" s="11" t="s">
        <v>519</v>
      </c>
      <c r="J9" s="11" t="s">
        <v>524</v>
      </c>
      <c r="K9" s="11" t="s">
        <v>637</v>
      </c>
      <c r="L9" s="11" t="s">
        <v>638</v>
      </c>
    </row>
    <row r="10" customFormat="false" ht="16.5" hidden="false" customHeight="true" outlineLevel="0" collapsed="false">
      <c r="B10" s="26" t="s">
        <v>639</v>
      </c>
      <c r="C10" s="53" t="n">
        <v>0</v>
      </c>
      <c r="D10" s="53" t="n">
        <v>1</v>
      </c>
      <c r="E10" s="53" t="n">
        <v>2</v>
      </c>
      <c r="F10" s="53" t="n">
        <v>1</v>
      </c>
      <c r="G10" s="53" t="n">
        <v>0</v>
      </c>
      <c r="H10" s="53" t="n">
        <v>0</v>
      </c>
      <c r="I10" s="53" t="n">
        <v>0</v>
      </c>
      <c r="J10" s="53" t="n">
        <v>0</v>
      </c>
      <c r="K10" s="52" t="n">
        <f aca="false">SQRT(SUMSQ(C10:J10))</f>
        <v>2.44948974278318</v>
      </c>
      <c r="L10" s="13" t="s">
        <v>640</v>
      </c>
    </row>
    <row r="11" customFormat="false" ht="16.5" hidden="false" customHeight="true" outlineLevel="0" collapsed="false">
      <c r="B11" s="26" t="s">
        <v>641</v>
      </c>
      <c r="C11" s="53" t="n">
        <v>0</v>
      </c>
      <c r="D11" s="53" t="n">
        <v>2</v>
      </c>
      <c r="E11" s="53" t="n">
        <v>2</v>
      </c>
      <c r="F11" s="53" t="n">
        <v>5</v>
      </c>
      <c r="G11" s="53" t="n">
        <v>0</v>
      </c>
      <c r="H11" s="53" t="n">
        <v>0</v>
      </c>
      <c r="I11" s="53" t="n">
        <v>1</v>
      </c>
      <c r="J11" s="53" t="n">
        <v>0</v>
      </c>
      <c r="K11" s="52" t="n">
        <f aca="false">SQRT(SUMSQ(C11:J11))</f>
        <v>5.8309518948453</v>
      </c>
      <c r="L11" s="13" t="s">
        <v>642</v>
      </c>
    </row>
    <row r="12" customFormat="false" ht="6.75" hidden="false" customHeight="true" outlineLevel="0" collapsed="false"/>
    <row r="13" customFormat="false" ht="30" hidden="false" customHeight="true" outlineLevel="0" collapsed="false">
      <c r="B13" s="11" t="s">
        <v>643</v>
      </c>
      <c r="C13" s="11" t="s">
        <v>644</v>
      </c>
      <c r="D13" s="11" t="s">
        <v>645</v>
      </c>
      <c r="E13" s="11" t="s">
        <v>646</v>
      </c>
    </row>
    <row r="14" customFormat="false" ht="42" hidden="false" customHeight="true" outlineLevel="0" collapsed="false">
      <c r="B14" s="26" t="s">
        <v>647</v>
      </c>
      <c r="C14" s="52" t="n">
        <f aca="false">SUMPRODUCT(C10:J10,C11:J11)</f>
        <v>11</v>
      </c>
      <c r="D14" s="13" t="s">
        <v>648</v>
      </c>
      <c r="E14" s="13" t="s">
        <v>649</v>
      </c>
    </row>
    <row r="15" customFormat="false" ht="42" hidden="false" customHeight="true" outlineLevel="0" collapsed="false">
      <c r="B15" s="26" t="s">
        <v>650</v>
      </c>
      <c r="C15" s="52" t="n">
        <f aca="false">SQRT(SUMSQ(C10:J10))</f>
        <v>2.44948974278318</v>
      </c>
      <c r="D15" s="13" t="s">
        <v>651</v>
      </c>
      <c r="E15" s="13" t="s">
        <v>652</v>
      </c>
    </row>
    <row r="16" customFormat="false" ht="42" hidden="false" customHeight="true" outlineLevel="0" collapsed="false">
      <c r="B16" s="26" t="s">
        <v>653</v>
      </c>
      <c r="C16" s="52" t="n">
        <f aca="false">SQRT(SUMSQ(C11:J11))</f>
        <v>5.8309518948453</v>
      </c>
      <c r="D16" s="13" t="s">
        <v>654</v>
      </c>
      <c r="E16" s="13" t="s">
        <v>655</v>
      </c>
    </row>
    <row r="17" customFormat="false" ht="42" hidden="false" customHeight="true" outlineLevel="0" collapsed="false">
      <c r="B17" s="33" t="s">
        <v>656</v>
      </c>
      <c r="C17" s="54" t="n">
        <f aca="false">IFERROR(SUMPRODUCT(C10:J10,C11:J11)/(SQRT(SUMSQ(C10:J10))*SQRT(SUMSQ(C11:J11))),0)</f>
        <v>0.770154046215405</v>
      </c>
      <c r="D17" s="13" t="s">
        <v>657</v>
      </c>
      <c r="E17" s="13" t="s">
        <v>658</v>
      </c>
    </row>
    <row r="18" customFormat="false" ht="42" hidden="false" customHeight="true" outlineLevel="0" collapsed="false">
      <c r="B18" s="26" t="s">
        <v>659</v>
      </c>
      <c r="C18" s="55" t="n">
        <f aca="false">IFERROR(DEGREES(ACOS(MIN(1,MAX(-1,SUMPRODUCT(C10:J10,C11:J11)/(SQRT(SUMSQ(C10:J10))*SQRT(SUMSQ(C11:J11))))))),0)</f>
        <v>39.6322759163818</v>
      </c>
      <c r="D18" s="13" t="s">
        <v>660</v>
      </c>
      <c r="E18" s="13" t="s">
        <v>661</v>
      </c>
    </row>
    <row r="19" customFormat="false" ht="42" hidden="false" customHeight="true" outlineLevel="0" collapsed="false">
      <c r="B19" s="26" t="s">
        <v>662</v>
      </c>
      <c r="C19" s="52" t="n">
        <f aca="false">SQRT(SUMPRODUCT((C10:J10-C11:J11)^2))</f>
        <v>4.24264068711929</v>
      </c>
      <c r="D19" s="13" t="s">
        <v>663</v>
      </c>
      <c r="E19" s="13" t="s">
        <v>664</v>
      </c>
    </row>
    <row r="20" customFormat="false" ht="6.75" hidden="false" customHeight="true" outlineLevel="0" collapsed="false"/>
    <row r="21" customFormat="false" ht="57.75" hidden="false" customHeight="true" outlineLevel="0" collapsed="false">
      <c r="B21" s="10" t="s">
        <v>665</v>
      </c>
      <c r="C21" s="10"/>
      <c r="D21" s="10"/>
      <c r="E21" s="10"/>
      <c r="F21" s="10"/>
      <c r="G21" s="10"/>
      <c r="H21" s="10"/>
      <c r="I21" s="10"/>
      <c r="J21" s="10"/>
      <c r="K21" s="10"/>
    </row>
    <row r="22" customFormat="false" ht="6.75" hidden="false" customHeight="true" outlineLevel="0" collapsed="false"/>
    <row r="23" customFormat="false" ht="21.75" hidden="false" customHeight="true" outlineLevel="0" collapsed="false">
      <c r="B23" s="3" t="s">
        <v>666</v>
      </c>
      <c r="C23" s="3"/>
      <c r="D23" s="3"/>
      <c r="E23" s="3"/>
      <c r="F23" s="3"/>
      <c r="G23" s="3"/>
      <c r="H23" s="3"/>
      <c r="I23" s="3"/>
      <c r="J23" s="3"/>
      <c r="K23" s="3"/>
    </row>
    <row r="24" customFormat="false" ht="30" hidden="false" customHeight="true" outlineLevel="0" collapsed="false">
      <c r="B24" s="11" t="s">
        <v>667</v>
      </c>
      <c r="C24" s="11" t="s">
        <v>668</v>
      </c>
      <c r="D24" s="11" t="s">
        <v>669</v>
      </c>
    </row>
    <row r="25" customFormat="false" ht="30" hidden="false" customHeight="true" outlineLevel="0" collapsed="false">
      <c r="B25" s="26" t="s">
        <v>670</v>
      </c>
      <c r="C25" s="13" t="s">
        <v>671</v>
      </c>
      <c r="D25" s="13" t="s">
        <v>672</v>
      </c>
    </row>
    <row r="26" customFormat="false" ht="30" hidden="false" customHeight="true" outlineLevel="0" collapsed="false">
      <c r="B26" s="26" t="s">
        <v>673</v>
      </c>
      <c r="C26" s="13" t="s">
        <v>674</v>
      </c>
      <c r="D26" s="13" t="s">
        <v>675</v>
      </c>
    </row>
    <row r="27" customFormat="false" ht="30" hidden="false" customHeight="true" outlineLevel="0" collapsed="false">
      <c r="B27" s="26" t="s">
        <v>676</v>
      </c>
      <c r="C27" s="13" t="s">
        <v>677</v>
      </c>
      <c r="D27" s="13" t="s">
        <v>678</v>
      </c>
    </row>
  </sheetData>
  <mergeCells count="7">
    <mergeCell ref="B2:K2"/>
    <mergeCell ref="B3:K3"/>
    <mergeCell ref="B5:K5"/>
    <mergeCell ref="B6:K6"/>
    <mergeCell ref="B8:K8"/>
    <mergeCell ref="B21:K21"/>
    <mergeCell ref="B23:K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10" min="3" style="0" width="15"/>
  </cols>
  <sheetData>
    <row r="2" customFormat="false" ht="30" hidden="false" customHeight="true" outlineLevel="0" collapsed="false">
      <c r="B2" s="1" t="s">
        <v>679</v>
      </c>
      <c r="C2" s="1"/>
      <c r="D2" s="1"/>
      <c r="E2" s="1"/>
      <c r="F2" s="1"/>
      <c r="G2" s="1"/>
      <c r="H2" s="1"/>
      <c r="I2" s="1"/>
      <c r="J2" s="1"/>
    </row>
    <row r="3" customFormat="false" ht="19.5" hidden="false" customHeight="true" outlineLevel="0" collapsed="false">
      <c r="B3" s="2" t="s">
        <v>680</v>
      </c>
      <c r="C3" s="2"/>
      <c r="D3" s="2"/>
      <c r="E3" s="2"/>
      <c r="F3" s="2"/>
      <c r="G3" s="2"/>
      <c r="H3" s="2"/>
      <c r="I3" s="2"/>
      <c r="J3" s="2"/>
    </row>
    <row r="4" customFormat="false" ht="6.75" hidden="false" customHeight="true" outlineLevel="0" collapsed="false"/>
    <row r="5" customFormat="false" ht="42.75" hidden="false" customHeight="true" outlineLevel="0" collapsed="false">
      <c r="B5" s="4" t="s">
        <v>681</v>
      </c>
      <c r="C5" s="4"/>
      <c r="D5" s="4"/>
      <c r="E5" s="4"/>
      <c r="F5" s="4"/>
      <c r="G5" s="4"/>
      <c r="H5" s="4"/>
      <c r="I5" s="4"/>
      <c r="J5" s="4"/>
    </row>
    <row r="6" customFormat="false" ht="6.75" hidden="false" customHeight="true" outlineLevel="0" collapsed="false"/>
    <row r="7" customFormat="false" ht="21.75" hidden="false" customHeight="true" outlineLevel="0" collapsed="false">
      <c r="B7" s="3" t="s">
        <v>682</v>
      </c>
      <c r="C7" s="3"/>
      <c r="D7" s="3"/>
      <c r="E7" s="3"/>
      <c r="F7" s="3"/>
      <c r="G7" s="3"/>
      <c r="H7" s="3"/>
      <c r="I7" s="3"/>
      <c r="J7" s="3"/>
    </row>
    <row r="8" customFormat="false" ht="30" hidden="false" customHeight="true" outlineLevel="0" collapsed="false">
      <c r="B8" s="11" t="s">
        <v>177</v>
      </c>
      <c r="C8" s="11" t="s">
        <v>683</v>
      </c>
      <c r="D8" s="11" t="s">
        <v>684</v>
      </c>
    </row>
    <row r="9" customFormat="false" ht="18" hidden="false" customHeight="true" outlineLevel="0" collapsed="false">
      <c r="B9" s="18" t="s">
        <v>685</v>
      </c>
      <c r="C9" s="12" t="str">
        <f aca="false">00_START_HERE!$C$8</f>
        <v>How much can I claim for a home office desk</v>
      </c>
      <c r="D9" s="13" t="s">
        <v>686</v>
      </c>
    </row>
    <row r="10" customFormat="false" ht="18" hidden="false" customHeight="true" outlineLevel="0" collapsed="false">
      <c r="B10" s="18" t="s">
        <v>687</v>
      </c>
      <c r="C10" s="18" t="str">
        <f aca="false">07_Term_Matrix!$D$5</f>
        <v> how much can i claim for a home office desk </v>
      </c>
      <c r="D10" s="13" t="s">
        <v>688</v>
      </c>
    </row>
    <row r="11" customFormat="false" ht="18" hidden="false" customHeight="true" outlineLevel="0" collapsed="false">
      <c r="B11" s="18" t="s">
        <v>689</v>
      </c>
      <c r="C11" s="32" t="n">
        <f aca="false">SUM(07_Term_Matrix!$D$8:$D$64)</f>
        <v>4</v>
      </c>
      <c r="D11" s="13" t="s">
        <v>690</v>
      </c>
    </row>
    <row r="12" customFormat="false" ht="15" hidden="false" customHeight="true" outlineLevel="0" collapsed="false">
      <c r="B12" s="18" t="s">
        <v>691</v>
      </c>
      <c r="C12" s="32" t="n">
        <f aca="false">09_Vectors!D$8</f>
        <v>0</v>
      </c>
      <c r="D12" s="18"/>
    </row>
    <row r="13" customFormat="false" ht="15" hidden="false" customHeight="true" outlineLevel="0" collapsed="false">
      <c r="B13" s="18" t="s">
        <v>692</v>
      </c>
      <c r="C13" s="32" t="n">
        <f aca="false">09_Vectors!E$8</f>
        <v>1</v>
      </c>
      <c r="D13" s="18"/>
    </row>
    <row r="14" customFormat="false" ht="15" hidden="false" customHeight="true" outlineLevel="0" collapsed="false">
      <c r="B14" s="18" t="s">
        <v>693</v>
      </c>
      <c r="C14" s="32" t="n">
        <f aca="false">09_Vectors!F$8</f>
        <v>2</v>
      </c>
      <c r="D14" s="18"/>
    </row>
    <row r="15" customFormat="false" ht="15" hidden="false" customHeight="true" outlineLevel="0" collapsed="false">
      <c r="B15" s="18" t="s">
        <v>694</v>
      </c>
      <c r="C15" s="32" t="n">
        <f aca="false">09_Vectors!G$8</f>
        <v>1</v>
      </c>
      <c r="D15" s="18"/>
    </row>
    <row r="16" customFormat="false" ht="15" hidden="false" customHeight="true" outlineLevel="0" collapsed="false">
      <c r="B16" s="18" t="s">
        <v>695</v>
      </c>
      <c r="C16" s="32" t="n">
        <f aca="false">09_Vectors!H$8</f>
        <v>0</v>
      </c>
      <c r="D16" s="18"/>
    </row>
    <row r="17" customFormat="false" ht="15" hidden="false" customHeight="true" outlineLevel="0" collapsed="false">
      <c r="B17" s="18" t="s">
        <v>696</v>
      </c>
      <c r="C17" s="32" t="n">
        <f aca="false">09_Vectors!I$8</f>
        <v>0</v>
      </c>
      <c r="D17" s="18"/>
    </row>
    <row r="18" customFormat="false" ht="15" hidden="false" customHeight="true" outlineLevel="0" collapsed="false">
      <c r="B18" s="18" t="s">
        <v>697</v>
      </c>
      <c r="C18" s="32" t="n">
        <f aca="false">09_Vectors!J$8</f>
        <v>0</v>
      </c>
      <c r="D18" s="18"/>
    </row>
    <row r="19" customFormat="false" ht="15" hidden="false" customHeight="true" outlineLevel="0" collapsed="false">
      <c r="B19" s="18" t="s">
        <v>698</v>
      </c>
      <c r="C19" s="32" t="n">
        <f aca="false">09_Vectors!K$8</f>
        <v>0</v>
      </c>
      <c r="D19" s="18"/>
    </row>
    <row r="20" customFormat="false" ht="18" hidden="false" customHeight="true" outlineLevel="0" collapsed="false">
      <c r="B20" s="18" t="s">
        <v>699</v>
      </c>
      <c r="C20" s="56" t="n">
        <f aca="false">09_Vectors!$L$8</f>
        <v>2.44948974278318</v>
      </c>
      <c r="D20" s="13" t="s">
        <v>700</v>
      </c>
    </row>
    <row r="21" customFormat="false" ht="6.75" hidden="false" customHeight="true" outlineLevel="0" collapsed="false"/>
    <row r="22" customFormat="false" ht="57.75" hidden="false" customHeight="true" outlineLevel="0" collapsed="false">
      <c r="B22" s="29" t="s">
        <v>701</v>
      </c>
      <c r="C22" s="29"/>
      <c r="D22" s="29"/>
      <c r="E22" s="29"/>
      <c r="F22" s="29"/>
      <c r="G22" s="29"/>
      <c r="H22" s="29"/>
      <c r="I22" s="29"/>
      <c r="J22" s="29"/>
    </row>
    <row r="23" customFormat="false" ht="6.75" hidden="false" customHeight="true" outlineLevel="0" collapsed="false"/>
    <row r="24" customFormat="false" ht="21.75" hidden="false" customHeight="true" outlineLevel="0" collapsed="false">
      <c r="B24" s="3" t="s">
        <v>702</v>
      </c>
      <c r="C24" s="3"/>
      <c r="D24" s="3"/>
      <c r="E24" s="3"/>
      <c r="F24" s="3"/>
      <c r="G24" s="3"/>
      <c r="H24" s="3"/>
      <c r="I24" s="3"/>
      <c r="J24" s="3"/>
    </row>
    <row r="25" customFormat="false" ht="42.75" hidden="false" customHeight="true" outlineLevel="0" collapsed="false">
      <c r="B25" s="4" t="s">
        <v>703</v>
      </c>
      <c r="C25" s="4"/>
      <c r="D25" s="4"/>
      <c r="E25" s="4"/>
      <c r="F25" s="4"/>
      <c r="G25" s="4"/>
      <c r="H25" s="4"/>
      <c r="I25" s="4"/>
      <c r="J25" s="4"/>
    </row>
    <row r="26" customFormat="false" ht="30" hidden="false" customHeight="true" outlineLevel="0" collapsed="false">
      <c r="B26" s="11" t="s">
        <v>321</v>
      </c>
      <c r="C26" s="11" t="s">
        <v>125</v>
      </c>
      <c r="D26" s="11" t="s">
        <v>704</v>
      </c>
    </row>
    <row r="27" customFormat="false" ht="48" hidden="false" customHeight="true" outlineLevel="0" collapsed="false">
      <c r="B27" s="26" t="s">
        <v>705</v>
      </c>
      <c r="C27" s="13" t="s">
        <v>706</v>
      </c>
      <c r="D27" s="13" t="s">
        <v>707</v>
      </c>
    </row>
    <row r="28" customFormat="false" ht="48" hidden="false" customHeight="true" outlineLevel="0" collapsed="false">
      <c r="B28" s="26" t="s">
        <v>708</v>
      </c>
      <c r="C28" s="13" t="s">
        <v>709</v>
      </c>
      <c r="D28" s="13" t="s">
        <v>710</v>
      </c>
    </row>
    <row r="29" customFormat="false" ht="48" hidden="false" customHeight="true" outlineLevel="0" collapsed="false">
      <c r="B29" s="26" t="s">
        <v>711</v>
      </c>
      <c r="C29" s="13" t="s">
        <v>712</v>
      </c>
      <c r="D29" s="13" t="s">
        <v>713</v>
      </c>
    </row>
  </sheetData>
  <mergeCells count="7">
    <mergeCell ref="B2:J2"/>
    <mergeCell ref="B3:J3"/>
    <mergeCell ref="B5:J5"/>
    <mergeCell ref="B7:J7"/>
    <mergeCell ref="B22:J22"/>
    <mergeCell ref="B24:J24"/>
    <mergeCell ref="B25:J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9"/>
    <col collapsed="false" customWidth="true" hidden="false" outlineLevel="0" max="4" min="4" style="0" width="12"/>
    <col collapsed="false" customWidth="true" hidden="false" outlineLevel="0" max="5" min="5" style="0" width="13"/>
    <col collapsed="false" customWidth="true" hidden="false" outlineLevel="0" max="6" min="6" style="0" width="8"/>
    <col collapsed="false" customWidth="true" hidden="false" outlineLevel="0" max="7" min="7" style="0" width="14"/>
    <col collapsed="false" customWidth="true" hidden="false" outlineLevel="0" max="8" min="8" style="0" width="62"/>
    <col collapsed="false" customWidth="true" hidden="false" outlineLevel="0" max="9" min="9" style="0" width="30"/>
  </cols>
  <sheetData>
    <row r="2" customFormat="false" ht="30" hidden="false" customHeight="true" outlineLevel="0" collapsed="false">
      <c r="B2" s="1" t="s">
        <v>714</v>
      </c>
      <c r="C2" s="1"/>
      <c r="D2" s="1"/>
      <c r="E2" s="1"/>
      <c r="F2" s="1"/>
      <c r="G2" s="1"/>
      <c r="H2" s="1"/>
      <c r="I2" s="1"/>
    </row>
    <row r="3" customFormat="false" ht="19.5" hidden="false" customHeight="true" outlineLevel="0" collapsed="false">
      <c r="B3" s="2" t="s">
        <v>715</v>
      </c>
      <c r="C3" s="2"/>
      <c r="D3" s="2"/>
      <c r="E3" s="2"/>
      <c r="F3" s="2"/>
      <c r="G3" s="2"/>
      <c r="H3" s="2"/>
      <c r="I3" s="2"/>
    </row>
    <row r="4" customFormat="false" ht="6.75" hidden="false" customHeight="true" outlineLevel="0" collapsed="false"/>
    <row r="5" customFormat="false" ht="21.75" hidden="false" customHeight="true" outlineLevel="0" collapsed="false">
      <c r="B5" s="3" t="s">
        <v>716</v>
      </c>
      <c r="C5" s="3"/>
      <c r="D5" s="3"/>
      <c r="E5" s="3"/>
      <c r="F5" s="3"/>
      <c r="G5" s="3"/>
      <c r="H5" s="3"/>
      <c r="I5" s="3"/>
    </row>
    <row r="6" customFormat="false" ht="30" hidden="false" customHeight="true" outlineLevel="0" collapsed="false">
      <c r="B6" s="4" t="s">
        <v>717</v>
      </c>
      <c r="C6" s="4"/>
      <c r="D6" s="4"/>
      <c r="E6" s="4"/>
      <c r="F6" s="4"/>
      <c r="G6" s="4"/>
      <c r="H6" s="4"/>
      <c r="I6" s="4"/>
    </row>
    <row r="7" customFormat="false" ht="6.75" hidden="false" customHeight="true" outlineLevel="0" collapsed="false"/>
    <row r="8" customFormat="false" ht="30" hidden="false" customHeight="true" outlineLevel="0" collapsed="false">
      <c r="B8" s="11" t="s">
        <v>186</v>
      </c>
      <c r="C8" s="11" t="s">
        <v>250</v>
      </c>
      <c r="D8" s="11" t="s">
        <v>718</v>
      </c>
      <c r="E8" s="11" t="s">
        <v>719</v>
      </c>
      <c r="F8" s="11" t="s">
        <v>720</v>
      </c>
      <c r="G8" s="11" t="s">
        <v>721</v>
      </c>
      <c r="H8" s="11" t="s">
        <v>722</v>
      </c>
      <c r="I8" s="11" t="s">
        <v>723</v>
      </c>
    </row>
    <row r="9" customFormat="false" ht="33.75" hidden="false" customHeight="true" outlineLevel="0" collapsed="false">
      <c r="B9" s="26" t="s">
        <v>424</v>
      </c>
      <c r="C9" s="18" t="s">
        <v>256</v>
      </c>
      <c r="D9" s="57" t="n">
        <f aca="false">IFERROR(SUMPRODUCT(09_Vectors!$D$8:$K$8,09_Vectors!$D$9:$K$9)/(09_Vectors!$L$8*09_Vectors!$L$9),0)</f>
        <v>0</v>
      </c>
      <c r="E9" s="57" t="n">
        <f aca="false">IFERROR(SUMPRODUCT(09_Vectors!$D$30:$K$30,09_Vectors!$D$31:$K$31),0)</f>
        <v>0</v>
      </c>
      <c r="F9" s="32" t="n">
        <f aca="false">RANK(D9,$D$9:$D$26)</f>
        <v>14</v>
      </c>
      <c r="G9" s="32" t="str">
        <f aca="false">IF(F9&lt;=00_START_HERE!$C$9,"► RETRIEVED","")</f>
        <v/>
      </c>
      <c r="H9" s="13" t="s">
        <v>426</v>
      </c>
      <c r="I9" s="13" t="s">
        <v>724</v>
      </c>
    </row>
    <row r="10" customFormat="false" ht="33.75" hidden="false" customHeight="true" outlineLevel="0" collapsed="false">
      <c r="B10" s="26" t="s">
        <v>427</v>
      </c>
      <c r="C10" s="18" t="s">
        <v>256</v>
      </c>
      <c r="D10" s="57" t="n">
        <f aca="false">IFERROR(SUMPRODUCT(09_Vectors!$D$8:$K$8,09_Vectors!$D$10:$K$10)/(09_Vectors!$L$8*09_Vectors!$L$10),0)</f>
        <v>0</v>
      </c>
      <c r="E10" s="57" t="n">
        <f aca="false">IFERROR(SUMPRODUCT(09_Vectors!$D$30:$K$30,09_Vectors!$D$32:$K$32),0)</f>
        <v>0</v>
      </c>
      <c r="F10" s="32" t="n">
        <f aca="false">RANK(D10,$D$9:$D$26)</f>
        <v>14</v>
      </c>
      <c r="G10" s="32" t="str">
        <f aca="false">IF(F10&lt;=00_START_HERE!$C$9,"► RETRIEVED","")</f>
        <v/>
      </c>
      <c r="H10" s="13" t="s">
        <v>429</v>
      </c>
      <c r="I10" s="13" t="s">
        <v>724</v>
      </c>
    </row>
    <row r="11" customFormat="false" ht="33.75" hidden="false" customHeight="true" outlineLevel="0" collapsed="false">
      <c r="B11" s="26" t="s">
        <v>430</v>
      </c>
      <c r="C11" s="18" t="s">
        <v>261</v>
      </c>
      <c r="D11" s="57" t="n">
        <f aca="false">IFERROR(SUMPRODUCT(09_Vectors!$D$8:$K$8,09_Vectors!$D$11:$K$11)/(09_Vectors!$L$8*09_Vectors!$L$11),0)</f>
        <v>0.0816496580927726</v>
      </c>
      <c r="E11" s="57" t="n">
        <f aca="false">IFERROR(SUMPRODUCT(09_Vectors!$D$30:$K$30,09_Vectors!$D$33:$K$33),0)</f>
        <v>0.0816496580927726</v>
      </c>
      <c r="F11" s="32" t="n">
        <f aca="false">RANK(D11,$D$9:$D$26)</f>
        <v>12</v>
      </c>
      <c r="G11" s="32" t="str">
        <f aca="false">IF(F11&lt;=00_START_HERE!$C$9,"► RETRIEVED","")</f>
        <v/>
      </c>
      <c r="H11" s="13" t="s">
        <v>264</v>
      </c>
      <c r="I11" s="13" t="s">
        <v>724</v>
      </c>
    </row>
    <row r="12" customFormat="false" ht="33.75" hidden="false" customHeight="true" outlineLevel="0" collapsed="false">
      <c r="B12" s="26" t="s">
        <v>432</v>
      </c>
      <c r="C12" s="18" t="s">
        <v>265</v>
      </c>
      <c r="D12" s="57" t="n">
        <f aca="false">IFERROR(SUMPRODUCT(09_Vectors!$D$8:$K$8,09_Vectors!$D$12:$K$12)/(09_Vectors!$L$8*09_Vectors!$L$12),0)</f>
        <v>0.0487950036474267</v>
      </c>
      <c r="E12" s="57" t="n">
        <f aca="false">IFERROR(SUMPRODUCT(09_Vectors!$D$30:$K$30,09_Vectors!$D$34:$K$34),0)</f>
        <v>0.0487950036474267</v>
      </c>
      <c r="F12" s="32" t="n">
        <f aca="false">RANK(D12,$D$9:$D$26)</f>
        <v>13</v>
      </c>
      <c r="G12" s="32" t="str">
        <f aca="false">IF(F12&lt;=00_START_HERE!$C$9,"► RETRIEVED","")</f>
        <v/>
      </c>
      <c r="H12" s="13" t="s">
        <v>268</v>
      </c>
      <c r="I12" s="13" t="s">
        <v>724</v>
      </c>
    </row>
    <row r="13" customFormat="false" ht="33.75" hidden="false" customHeight="true" outlineLevel="0" collapsed="false">
      <c r="B13" s="26" t="s">
        <v>433</v>
      </c>
      <c r="C13" s="18" t="s">
        <v>269</v>
      </c>
      <c r="D13" s="57" t="n">
        <f aca="false">IFERROR(SUMPRODUCT(09_Vectors!$D$8:$K$8,09_Vectors!$D$13:$K$13)/(09_Vectors!$L$8*09_Vectors!$L$13),0)</f>
        <v>0.235702260395516</v>
      </c>
      <c r="E13" s="57" t="n">
        <f aca="false">IFERROR(SUMPRODUCT(09_Vectors!$D$30:$K$30,09_Vectors!$D$35:$K$35),0)</f>
        <v>0.235702260395516</v>
      </c>
      <c r="F13" s="32" t="n">
        <f aca="false">RANK(D13,$D$9:$D$26)</f>
        <v>9</v>
      </c>
      <c r="G13" s="32" t="str">
        <f aca="false">IF(F13&lt;=00_START_HERE!$C$9,"► RETRIEVED","")</f>
        <v/>
      </c>
      <c r="H13" s="13" t="s">
        <v>272</v>
      </c>
      <c r="I13" s="13" t="s">
        <v>724</v>
      </c>
    </row>
    <row r="14" customFormat="false" ht="33.75" hidden="false" customHeight="true" outlineLevel="0" collapsed="false">
      <c r="B14" s="26" t="s">
        <v>434</v>
      </c>
      <c r="C14" s="18" t="s">
        <v>273</v>
      </c>
      <c r="D14" s="57" t="n">
        <f aca="false">IFERROR(SUMPRODUCT(09_Vectors!$D$8:$K$8,09_Vectors!$D$14:$K$14)/(09_Vectors!$L$8*09_Vectors!$L$14),0)</f>
        <v>0.402693633128415</v>
      </c>
      <c r="E14" s="57" t="n">
        <f aca="false">IFERROR(SUMPRODUCT(09_Vectors!$D$30:$K$30,09_Vectors!$D$36:$K$36),0)</f>
        <v>0.402693633128415</v>
      </c>
      <c r="F14" s="32" t="n">
        <f aca="false">RANK(D14,$D$9:$D$26)</f>
        <v>5</v>
      </c>
      <c r="G14" s="32" t="str">
        <f aca="false">IF(F14&lt;=00_START_HERE!$C$9,"► RETRIEVED","")</f>
        <v/>
      </c>
      <c r="H14" s="13" t="s">
        <v>276</v>
      </c>
      <c r="I14" s="13" t="s">
        <v>724</v>
      </c>
    </row>
    <row r="15" customFormat="false" ht="33.75" hidden="false" customHeight="true" outlineLevel="0" collapsed="false">
      <c r="B15" s="27" t="s">
        <v>435</v>
      </c>
      <c r="C15" s="18" t="s">
        <v>277</v>
      </c>
      <c r="D15" s="57" t="n">
        <f aca="false">IFERROR(SUMPRODUCT(09_Vectors!$D$8:$K$8,09_Vectors!$D$15:$K$15)/(09_Vectors!$L$8*09_Vectors!$L$15),0)</f>
        <v>0.389249472080762</v>
      </c>
      <c r="E15" s="57" t="n">
        <f aca="false">IFERROR(SUMPRODUCT(09_Vectors!$D$30:$K$30,09_Vectors!$D$37:$K$37),0)</f>
        <v>0.389249472080762</v>
      </c>
      <c r="F15" s="32" t="n">
        <f aca="false">RANK(D15,$D$9:$D$26)</f>
        <v>6</v>
      </c>
      <c r="G15" s="32" t="str">
        <f aca="false">IF(F15&lt;=00_START_HERE!$C$9,"► RETRIEVED","")</f>
        <v/>
      </c>
      <c r="H15" s="13" t="s">
        <v>436</v>
      </c>
      <c r="I15" s="13" t="s">
        <v>725</v>
      </c>
    </row>
    <row r="16" customFormat="false" ht="33.75" hidden="false" customHeight="true" outlineLevel="0" collapsed="false">
      <c r="B16" s="27" t="s">
        <v>437</v>
      </c>
      <c r="C16" s="18" t="s">
        <v>277</v>
      </c>
      <c r="D16" s="57" t="n">
        <f aca="false">IFERROR(SUMPRODUCT(09_Vectors!$D$8:$K$8,09_Vectors!$D$16:$K$16)/(09_Vectors!$L$8*09_Vectors!$L$16),0)</f>
        <v>0.774138734428038</v>
      </c>
      <c r="E16" s="57" t="n">
        <f aca="false">IFERROR(SUMPRODUCT(09_Vectors!$D$30:$K$30,09_Vectors!$D$38:$K$38),0)</f>
        <v>0.774138734428038</v>
      </c>
      <c r="F16" s="32" t="n">
        <f aca="false">RANK(D16,$D$9:$D$26)</f>
        <v>2</v>
      </c>
      <c r="G16" s="32" t="str">
        <f aca="false">IF(F16&lt;=00_START_HERE!$C$9,"► RETRIEVED","")</f>
        <v>► RETRIEVED</v>
      </c>
      <c r="H16" s="13" t="s">
        <v>438</v>
      </c>
      <c r="I16" s="13" t="s">
        <v>726</v>
      </c>
    </row>
    <row r="17" customFormat="false" ht="33.75" hidden="false" customHeight="true" outlineLevel="0" collapsed="false">
      <c r="B17" s="26" t="s">
        <v>439</v>
      </c>
      <c r="C17" s="18" t="s">
        <v>281</v>
      </c>
      <c r="D17" s="57" t="n">
        <f aca="false">IFERROR(SUMPRODUCT(09_Vectors!$D$8:$K$8,09_Vectors!$D$17:$K$17)/(09_Vectors!$L$8*09_Vectors!$L$17),0)</f>
        <v>0.640512615220349</v>
      </c>
      <c r="E17" s="57" t="n">
        <f aca="false">IFERROR(SUMPRODUCT(09_Vectors!$D$30:$K$30,09_Vectors!$D$39:$K$39),0)</f>
        <v>0.640512615220349</v>
      </c>
      <c r="F17" s="32" t="n">
        <f aca="false">RANK(D17,$D$9:$D$26)</f>
        <v>4</v>
      </c>
      <c r="G17" s="32" t="str">
        <f aca="false">IF(F17&lt;=00_START_HERE!$C$9,"► RETRIEVED","")</f>
        <v/>
      </c>
      <c r="H17" s="13" t="s">
        <v>284</v>
      </c>
      <c r="I17" s="13" t="s">
        <v>727</v>
      </c>
    </row>
    <row r="18" customFormat="false" ht="33.75" hidden="false" customHeight="true" outlineLevel="0" collapsed="false">
      <c r="B18" s="33" t="s">
        <v>440</v>
      </c>
      <c r="C18" s="18" t="s">
        <v>285</v>
      </c>
      <c r="D18" s="57" t="n">
        <f aca="false">IFERROR(SUMPRODUCT(09_Vectors!$D$8:$K$8,09_Vectors!$D$18:$K$18)/(09_Vectors!$L$8*09_Vectors!$L$18),0)</f>
        <v>0.825722823844771</v>
      </c>
      <c r="E18" s="57" t="n">
        <f aca="false">IFERROR(SUMPRODUCT(09_Vectors!$D$30:$K$30,09_Vectors!$D$40:$K$40),0)</f>
        <v>0.825722823844771</v>
      </c>
      <c r="F18" s="32" t="n">
        <f aca="false">RANK(D18,$D$9:$D$26)</f>
        <v>1</v>
      </c>
      <c r="G18" s="32" t="str">
        <f aca="false">IF(F18&lt;=00_START_HERE!$C$9,"► RETRIEVED","")</f>
        <v>► RETRIEVED</v>
      </c>
      <c r="H18" s="13" t="s">
        <v>441</v>
      </c>
      <c r="I18" s="13" t="s">
        <v>728</v>
      </c>
    </row>
    <row r="19" customFormat="false" ht="33.75" hidden="false" customHeight="true" outlineLevel="0" collapsed="false">
      <c r="B19" s="33" t="s">
        <v>442</v>
      </c>
      <c r="C19" s="18" t="s">
        <v>285</v>
      </c>
      <c r="D19" s="57" t="n">
        <f aca="false">IFERROR(SUMPRODUCT(09_Vectors!$D$8:$K$8,09_Vectors!$D$19:$K$19)/(09_Vectors!$L$8*09_Vectors!$L$19),0)</f>
        <v>0.770674635588452</v>
      </c>
      <c r="E19" s="57" t="n">
        <f aca="false">IFERROR(SUMPRODUCT(09_Vectors!$D$30:$K$30,09_Vectors!$D$41:$K$41),0)</f>
        <v>0.770674635588453</v>
      </c>
      <c r="F19" s="32" t="n">
        <f aca="false">RANK(D19,$D$9:$D$26)</f>
        <v>3</v>
      </c>
      <c r="G19" s="32" t="str">
        <f aca="false">IF(F19&lt;=00_START_HERE!$C$9,"► RETRIEVED","")</f>
        <v>► RETRIEVED</v>
      </c>
      <c r="H19" s="13" t="s">
        <v>443</v>
      </c>
      <c r="I19" s="13" t="s">
        <v>729</v>
      </c>
    </row>
    <row r="20" customFormat="false" ht="33.75" hidden="false" customHeight="true" outlineLevel="0" collapsed="false">
      <c r="B20" s="26" t="s">
        <v>444</v>
      </c>
      <c r="C20" s="18" t="s">
        <v>289</v>
      </c>
      <c r="D20" s="57" t="n">
        <f aca="false">IFERROR(SUMPRODUCT(09_Vectors!$D$8:$K$8,09_Vectors!$D$20:$K$20)/(09_Vectors!$L$8*09_Vectors!$L$20),0)</f>
        <v>0.333333333333333</v>
      </c>
      <c r="E20" s="57" t="n">
        <f aca="false">IFERROR(SUMPRODUCT(09_Vectors!$D$30:$K$30,09_Vectors!$D$42:$K$42),0)</f>
        <v>0.333333333333333</v>
      </c>
      <c r="F20" s="32" t="n">
        <f aca="false">RANK(D20,$D$9:$D$26)</f>
        <v>8</v>
      </c>
      <c r="G20" s="32" t="str">
        <f aca="false">IF(F20&lt;=00_START_HERE!$C$9,"► RETRIEVED","")</f>
        <v/>
      </c>
      <c r="H20" s="13" t="s">
        <v>293</v>
      </c>
      <c r="I20" s="13" t="s">
        <v>724</v>
      </c>
    </row>
    <row r="21" customFormat="false" ht="33.75" hidden="false" customHeight="true" outlineLevel="0" collapsed="false">
      <c r="B21" s="26" t="s">
        <v>445</v>
      </c>
      <c r="C21" s="18" t="s">
        <v>294</v>
      </c>
      <c r="D21" s="57" t="n">
        <f aca="false">IFERROR(SUMPRODUCT(09_Vectors!$D$8:$K$8,09_Vectors!$D$21:$K$21)/(09_Vectors!$L$8*09_Vectors!$L$21),0)</f>
        <v>0.210818510677892</v>
      </c>
      <c r="E21" s="57" t="n">
        <f aca="false">IFERROR(SUMPRODUCT(09_Vectors!$D$30:$K$30,09_Vectors!$D$43:$K$43),0)</f>
        <v>0.210818510677892</v>
      </c>
      <c r="F21" s="32" t="n">
        <f aca="false">RANK(D21,$D$9:$D$26)</f>
        <v>10</v>
      </c>
      <c r="G21" s="32" t="str">
        <f aca="false">IF(F21&lt;=00_START_HERE!$C$9,"► RETRIEVED","")</f>
        <v/>
      </c>
      <c r="H21" s="13" t="s">
        <v>296</v>
      </c>
      <c r="I21" s="13" t="s">
        <v>724</v>
      </c>
    </row>
    <row r="22" customFormat="false" ht="33.75" hidden="false" customHeight="true" outlineLevel="0" collapsed="false">
      <c r="B22" s="26" t="s">
        <v>446</v>
      </c>
      <c r="C22" s="18" t="s">
        <v>297</v>
      </c>
      <c r="D22" s="57" t="n">
        <f aca="false">IFERROR(SUMPRODUCT(09_Vectors!$D$8:$K$8,09_Vectors!$D$22:$K$22)/(09_Vectors!$L$8*09_Vectors!$L$22),0)</f>
        <v>0</v>
      </c>
      <c r="E22" s="57" t="n">
        <f aca="false">IFERROR(SUMPRODUCT(09_Vectors!$D$30:$K$30,09_Vectors!$D$44:$K$44),0)</f>
        <v>0</v>
      </c>
      <c r="F22" s="32" t="n">
        <f aca="false">RANK(D22,$D$9:$D$26)</f>
        <v>14</v>
      </c>
      <c r="G22" s="32" t="str">
        <f aca="false">IF(F22&lt;=00_START_HERE!$C$9,"► RETRIEVED","")</f>
        <v/>
      </c>
      <c r="H22" s="13" t="s">
        <v>300</v>
      </c>
      <c r="I22" s="13" t="s">
        <v>724</v>
      </c>
    </row>
    <row r="23" customFormat="false" ht="33.75" hidden="false" customHeight="true" outlineLevel="0" collapsed="false">
      <c r="B23" s="26" t="s">
        <v>447</v>
      </c>
      <c r="C23" s="18" t="s">
        <v>301</v>
      </c>
      <c r="D23" s="57" t="n">
        <f aca="false">IFERROR(SUMPRODUCT(09_Vectors!$D$8:$K$8,09_Vectors!$D$23:$K$23)/(09_Vectors!$L$8*09_Vectors!$L$23),0)</f>
        <v>0</v>
      </c>
      <c r="E23" s="57" t="n">
        <f aca="false">IFERROR(SUMPRODUCT(09_Vectors!$D$30:$K$30,09_Vectors!$D$45:$K$45),0)</f>
        <v>0</v>
      </c>
      <c r="F23" s="32" t="n">
        <f aca="false">RANK(D23,$D$9:$D$26)</f>
        <v>14</v>
      </c>
      <c r="G23" s="32" t="str">
        <f aca="false">IF(F23&lt;=00_START_HERE!$C$9,"► RETRIEVED","")</f>
        <v/>
      </c>
      <c r="H23" s="13" t="s">
        <v>304</v>
      </c>
      <c r="I23" s="13" t="s">
        <v>724</v>
      </c>
    </row>
    <row r="24" customFormat="false" ht="33.75" hidden="false" customHeight="true" outlineLevel="0" collapsed="false">
      <c r="B24" s="26" t="s">
        <v>448</v>
      </c>
      <c r="C24" s="18" t="s">
        <v>305</v>
      </c>
      <c r="D24" s="57" t="n">
        <f aca="false">IFERROR(SUMPRODUCT(09_Vectors!$D$8:$K$8,09_Vectors!$D$24:$K$24)/(09_Vectors!$L$8*09_Vectors!$L$24),0)</f>
        <v>0.361157559257308</v>
      </c>
      <c r="E24" s="57" t="n">
        <f aca="false">IFERROR(SUMPRODUCT(09_Vectors!$D$30:$K$30,09_Vectors!$D$46:$K$46),0)</f>
        <v>0.361157559257308</v>
      </c>
      <c r="F24" s="32" t="n">
        <f aca="false">RANK(D24,$D$9:$D$26)</f>
        <v>7</v>
      </c>
      <c r="G24" s="32" t="str">
        <f aca="false">IF(F24&lt;=00_START_HERE!$C$9,"► RETRIEVED","")</f>
        <v/>
      </c>
      <c r="H24" s="13" t="s">
        <v>449</v>
      </c>
      <c r="I24" s="13" t="s">
        <v>730</v>
      </c>
    </row>
    <row r="25" customFormat="false" ht="33.75" hidden="false" customHeight="true" outlineLevel="0" collapsed="false">
      <c r="B25" s="26" t="s">
        <v>450</v>
      </c>
      <c r="C25" s="18" t="s">
        <v>305</v>
      </c>
      <c r="D25" s="57" t="n">
        <f aca="false">IFERROR(SUMPRODUCT(09_Vectors!$D$8:$K$8,09_Vectors!$D$25:$K$25)/(09_Vectors!$L$8*09_Vectors!$L$25),0)</f>
        <v>0.163299316185545</v>
      </c>
      <c r="E25" s="57" t="n">
        <f aca="false">IFERROR(SUMPRODUCT(09_Vectors!$D$30:$K$30,09_Vectors!$D$47:$K$47),0)</f>
        <v>0.163299316185545</v>
      </c>
      <c r="F25" s="32" t="n">
        <f aca="false">RANK(D25,$D$9:$D$26)</f>
        <v>11</v>
      </c>
      <c r="G25" s="32" t="str">
        <f aca="false">IF(F25&lt;=00_START_HERE!$C$9,"► RETRIEVED","")</f>
        <v/>
      </c>
      <c r="H25" s="13" t="s">
        <v>451</v>
      </c>
      <c r="I25" s="13" t="s">
        <v>724</v>
      </c>
    </row>
    <row r="26" customFormat="false" ht="33.75" hidden="false" customHeight="true" outlineLevel="0" collapsed="false">
      <c r="B26" s="26" t="s">
        <v>452</v>
      </c>
      <c r="C26" s="18" t="s">
        <v>309</v>
      </c>
      <c r="D26" s="57" t="n">
        <f aca="false">IFERROR(SUMPRODUCT(09_Vectors!$D$8:$K$8,09_Vectors!$D$26:$K$26)/(09_Vectors!$L$8*09_Vectors!$L$26),0)</f>
        <v>0</v>
      </c>
      <c r="E26" s="57" t="n">
        <f aca="false">IFERROR(SUMPRODUCT(09_Vectors!$D$30:$K$30,09_Vectors!$D$48:$K$48),0)</f>
        <v>0</v>
      </c>
      <c r="F26" s="32" t="n">
        <f aca="false">RANK(D26,$D$9:$D$26)</f>
        <v>14</v>
      </c>
      <c r="G26" s="32" t="str">
        <f aca="false">IF(F26&lt;=00_START_HERE!$C$9,"► RETRIEVED","")</f>
        <v/>
      </c>
      <c r="H26" s="13" t="s">
        <v>311</v>
      </c>
      <c r="I26" s="13" t="s">
        <v>724</v>
      </c>
    </row>
    <row r="27" customFormat="false" ht="6.75" hidden="false" customHeight="true" outlineLevel="0" collapsed="false"/>
    <row r="28" customFormat="false" ht="15" hidden="false" customHeight="false" outlineLevel="0" collapsed="false">
      <c r="B28" s="35" t="s">
        <v>731</v>
      </c>
      <c r="D28" s="58" t="n">
        <f aca="false">00_START_HERE!$C$9</f>
        <v>3</v>
      </c>
      <c r="E28" s="35" t="s">
        <v>732</v>
      </c>
      <c r="F28" s="59" t="n">
        <f aca="false">MAX(D9:D26)</f>
        <v>0.825722823844771</v>
      </c>
      <c r="G28" s="35" t="str">
        <f aca="false">"Rank 1 is chunk "&amp;INDEX($B$9:$B$26,MATCH(1,$F$9:$F$26,0))&amp;"  ·  Rank 2 is "&amp;INDEX($B$9:$B$26,MATCH(2,$F$9:$F$26,0))&amp;"  ·  Rank 3 is "&amp;INDEX($B$9:$B$26,MATCH(3,$F$9:$F$26,0))</f>
        <v>Rank 1 is chunk C10  ·  Rank 2 is C08  ·  Rank 3 is C11</v>
      </c>
    </row>
    <row r="29" customFormat="false" ht="6.75" hidden="false" customHeight="true" outlineLevel="0" collapsed="false"/>
    <row r="30" customFormat="false" ht="21.75" hidden="false" customHeight="true" outlineLevel="0" collapsed="false">
      <c r="B30" s="3" t="s">
        <v>733</v>
      </c>
      <c r="C30" s="3"/>
      <c r="D30" s="3"/>
      <c r="E30" s="3"/>
      <c r="F30" s="3"/>
      <c r="G30" s="3"/>
      <c r="H30" s="3"/>
      <c r="I30" s="3"/>
    </row>
    <row r="31" customFormat="false" ht="30" hidden="false" customHeight="true" outlineLevel="0" collapsed="false">
      <c r="B31" s="4" t="s">
        <v>734</v>
      </c>
      <c r="C31" s="4"/>
      <c r="D31" s="4"/>
      <c r="E31" s="4"/>
      <c r="F31" s="4"/>
      <c r="G31" s="4"/>
      <c r="H31" s="4"/>
      <c r="I31" s="4"/>
    </row>
    <row r="32" customFormat="false" ht="30" hidden="false" customHeight="true" outlineLevel="0" collapsed="false">
      <c r="B32" s="11" t="s">
        <v>735</v>
      </c>
      <c r="C32" s="11" t="s">
        <v>736</v>
      </c>
      <c r="D32" s="11" t="s">
        <v>737</v>
      </c>
      <c r="E32" s="11" t="s">
        <v>397</v>
      </c>
    </row>
    <row r="33" customFormat="false" ht="51.75" hidden="false" customHeight="true" outlineLevel="0" collapsed="false">
      <c r="B33" s="26" t="s">
        <v>179</v>
      </c>
      <c r="C33" s="13" t="s">
        <v>738</v>
      </c>
      <c r="D33" s="13" t="s">
        <v>739</v>
      </c>
      <c r="E33" s="30" t="s">
        <v>740</v>
      </c>
    </row>
    <row r="34" customFormat="false" ht="51.75" hidden="false" customHeight="true" outlineLevel="0" collapsed="false">
      <c r="B34" s="26" t="s">
        <v>185</v>
      </c>
      <c r="C34" s="13" t="s">
        <v>741</v>
      </c>
      <c r="D34" s="13" t="s">
        <v>742</v>
      </c>
      <c r="E34" s="30" t="s">
        <v>743</v>
      </c>
    </row>
    <row r="35" customFormat="false" ht="51.75" hidden="false" customHeight="true" outlineLevel="0" collapsed="false">
      <c r="B35" s="26" t="s">
        <v>191</v>
      </c>
      <c r="C35" s="13" t="s">
        <v>744</v>
      </c>
      <c r="D35" s="13" t="s">
        <v>745</v>
      </c>
      <c r="E35" s="31" t="s">
        <v>746</v>
      </c>
    </row>
    <row r="36" customFormat="false" ht="6.75" hidden="false" customHeight="true" outlineLevel="0" collapsed="false"/>
    <row r="37" customFormat="false" ht="45" hidden="false" customHeight="true" outlineLevel="0" collapsed="false">
      <c r="B37" s="29" t="s">
        <v>747</v>
      </c>
      <c r="C37" s="29"/>
      <c r="D37" s="29"/>
      <c r="E37" s="29"/>
      <c r="F37" s="29"/>
      <c r="G37" s="29"/>
      <c r="H37" s="29"/>
      <c r="I37" s="29"/>
    </row>
    <row r="38" customFormat="false" ht="57.75" hidden="false" customHeight="true" outlineLevel="0" collapsed="false">
      <c r="B38" s="29" t="s">
        <v>748</v>
      </c>
      <c r="C38" s="29"/>
      <c r="D38" s="29"/>
      <c r="E38" s="29"/>
      <c r="F38" s="29"/>
      <c r="G38" s="29"/>
      <c r="H38" s="29"/>
      <c r="I38" s="29"/>
    </row>
    <row r="39" customFormat="false" ht="57.75" hidden="false" customHeight="true" outlineLevel="0" collapsed="false">
      <c r="B39" s="10" t="s">
        <v>749</v>
      </c>
      <c r="C39" s="10"/>
      <c r="D39" s="10"/>
      <c r="E39" s="10"/>
      <c r="F39" s="10"/>
      <c r="G39" s="10"/>
      <c r="H39" s="10"/>
      <c r="I39" s="10"/>
    </row>
    <row r="40" customFormat="false" ht="6.75" hidden="false" customHeight="true" outlineLevel="0" collapsed="false"/>
    <row r="41" customFormat="false" ht="45" hidden="false" customHeight="true" outlineLevel="0" collapsed="false">
      <c r="B41" s="34" t="s">
        <v>750</v>
      </c>
      <c r="C41" s="34"/>
      <c r="D41" s="34"/>
      <c r="E41" s="34"/>
      <c r="F41" s="34"/>
      <c r="G41" s="34"/>
      <c r="H41" s="34"/>
      <c r="I41" s="34"/>
    </row>
  </sheetData>
  <mergeCells count="10">
    <mergeCell ref="B2:I2"/>
    <mergeCell ref="B3:I3"/>
    <mergeCell ref="B5:I5"/>
    <mergeCell ref="B6:I6"/>
    <mergeCell ref="B30:I30"/>
    <mergeCell ref="B31:I31"/>
    <mergeCell ref="B37:I37"/>
    <mergeCell ref="B38:I38"/>
    <mergeCell ref="B39:I39"/>
    <mergeCell ref="B41:I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10" min="3" style="0" width="15"/>
  </cols>
  <sheetData>
    <row r="2" customFormat="false" ht="30" hidden="false" customHeight="true" outlineLevel="0" collapsed="false">
      <c r="B2" s="1" t="s">
        <v>751</v>
      </c>
      <c r="C2" s="1"/>
      <c r="D2" s="1"/>
      <c r="E2" s="1"/>
      <c r="F2" s="1"/>
      <c r="G2" s="1"/>
      <c r="H2" s="1"/>
      <c r="I2" s="1"/>
      <c r="J2" s="1"/>
    </row>
    <row r="3" customFormat="false" ht="19.5" hidden="false" customHeight="true" outlineLevel="0" collapsed="false">
      <c r="B3" s="2" t="s">
        <v>752</v>
      </c>
      <c r="C3" s="2"/>
      <c r="D3" s="2"/>
      <c r="E3" s="2"/>
      <c r="F3" s="2"/>
      <c r="G3" s="2"/>
      <c r="H3" s="2"/>
      <c r="I3" s="2"/>
      <c r="J3" s="2"/>
    </row>
    <row r="4" customFormat="false" ht="6.75" hidden="false" customHeight="true" outlineLevel="0" collapsed="false"/>
    <row r="5" customFormat="false" ht="21.75" hidden="false" customHeight="true" outlineLevel="0" collapsed="false">
      <c r="B5" s="3" t="s">
        <v>753</v>
      </c>
      <c r="C5" s="3"/>
      <c r="D5" s="3"/>
      <c r="E5" s="3"/>
      <c r="F5" s="3"/>
      <c r="G5" s="3"/>
      <c r="H5" s="3"/>
      <c r="I5" s="3"/>
      <c r="J5" s="3"/>
    </row>
    <row r="6" customFormat="false" ht="30" hidden="false" customHeight="true" outlineLevel="0" collapsed="false">
      <c r="B6" s="4" t="s">
        <v>754</v>
      </c>
      <c r="C6" s="4"/>
      <c r="D6" s="4"/>
      <c r="E6" s="4"/>
      <c r="F6" s="4"/>
      <c r="G6" s="4"/>
      <c r="H6" s="4"/>
      <c r="I6" s="4"/>
      <c r="J6" s="4"/>
    </row>
    <row r="7" customFormat="false" ht="30" hidden="false" customHeight="true" outlineLevel="0" collapsed="false">
      <c r="B7" s="11" t="s">
        <v>755</v>
      </c>
      <c r="C7" s="11" t="s">
        <v>644</v>
      </c>
      <c r="D7" s="11" t="s">
        <v>756</v>
      </c>
      <c r="E7" s="11" t="s">
        <v>19</v>
      </c>
    </row>
    <row r="8" customFormat="false" ht="16.5" hidden="false" customHeight="true" outlineLevel="0" collapsed="false">
      <c r="B8" s="18" t="s">
        <v>757</v>
      </c>
      <c r="C8" s="60" t="n">
        <v>5000000</v>
      </c>
      <c r="D8" s="18"/>
      <c r="E8" s="18"/>
    </row>
    <row r="9" customFormat="false" ht="16.5" hidden="false" customHeight="true" outlineLevel="0" collapsed="false">
      <c r="B9" s="18" t="s">
        <v>758</v>
      </c>
      <c r="C9" s="60" t="n">
        <v>1536</v>
      </c>
      <c r="D9" s="18"/>
      <c r="E9" s="18"/>
    </row>
    <row r="10" customFormat="false" ht="16.5" hidden="false" customHeight="true" outlineLevel="0" collapsed="false">
      <c r="B10" s="18" t="s">
        <v>759</v>
      </c>
      <c r="C10" s="60" t="n">
        <v>20000000000</v>
      </c>
      <c r="D10" s="18"/>
      <c r="E10" s="18"/>
    </row>
    <row r="11" customFormat="false" ht="6.75" hidden="false" customHeight="true" outlineLevel="0" collapsed="false"/>
    <row r="12" customFormat="false" ht="16.5" hidden="false" customHeight="true" outlineLevel="0" collapsed="false">
      <c r="B12" s="18" t="s">
        <v>760</v>
      </c>
      <c r="C12" s="61" t="n">
        <f aca="false">C8*C9</f>
        <v>7680000000</v>
      </c>
      <c r="D12" s="18"/>
      <c r="E12" s="13" t="s">
        <v>761</v>
      </c>
    </row>
    <row r="13" customFormat="false" ht="16.5" hidden="false" customHeight="true" outlineLevel="0" collapsed="false">
      <c r="B13" s="18" t="s">
        <v>762</v>
      </c>
      <c r="C13" s="62" t="n">
        <f aca="false">C8*C9/C10</f>
        <v>0.384</v>
      </c>
      <c r="D13" s="18"/>
      <c r="E13" s="13" t="s">
        <v>763</v>
      </c>
    </row>
    <row r="14" customFormat="false" ht="16.5" hidden="false" customHeight="true" outlineLevel="0" collapsed="false">
      <c r="B14" s="18" t="s">
        <v>764</v>
      </c>
      <c r="C14" s="63" t="n">
        <f aca="false">C8*C9*4/1024^3</f>
        <v>28.6102294921875</v>
      </c>
      <c r="D14" s="18"/>
      <c r="E14" s="13" t="s">
        <v>765</v>
      </c>
    </row>
    <row r="15" customFormat="false" ht="16.5" hidden="false" customHeight="true" outlineLevel="0" collapsed="false">
      <c r="B15" s="18" t="s">
        <v>766</v>
      </c>
      <c r="C15" s="61" t="n">
        <f aca="false">IFERROR(LOG(C8,2)*32,0)</f>
        <v>712.111893254769</v>
      </c>
      <c r="D15" s="18"/>
      <c r="E15" s="13" t="s">
        <v>767</v>
      </c>
    </row>
    <row r="16" customFormat="false" ht="16.5" hidden="false" customHeight="true" outlineLevel="0" collapsed="false">
      <c r="B16" s="18" t="s">
        <v>768</v>
      </c>
      <c r="C16" s="64" t="n">
        <f aca="false">IFERROR(C8/(LOG(C8,2)*32),0)</f>
        <v>7021.36847784843</v>
      </c>
      <c r="D16" s="18"/>
      <c r="E16" s="13" t="s">
        <v>769</v>
      </c>
    </row>
    <row r="17" customFormat="false" ht="6.75" hidden="false" customHeight="true" outlineLevel="0" collapsed="false"/>
    <row r="18" customFormat="false" ht="57.75" hidden="false" customHeight="true" outlineLevel="0" collapsed="false">
      <c r="B18" s="10" t="s">
        <v>770</v>
      </c>
      <c r="C18" s="10"/>
      <c r="D18" s="10"/>
      <c r="E18" s="10"/>
      <c r="F18" s="10"/>
      <c r="G18" s="10"/>
      <c r="H18" s="10"/>
      <c r="I18" s="10"/>
      <c r="J18" s="10"/>
    </row>
    <row r="19" customFormat="false" ht="6.75" hidden="false" customHeight="true" outlineLevel="0" collapsed="false"/>
    <row r="20" customFormat="false" ht="21.75" hidden="false" customHeight="true" outlineLevel="0" collapsed="false">
      <c r="B20" s="3" t="s">
        <v>771</v>
      </c>
      <c r="C20" s="3"/>
      <c r="D20" s="3"/>
      <c r="E20" s="3"/>
      <c r="F20" s="3"/>
      <c r="G20" s="3"/>
      <c r="H20" s="3"/>
      <c r="I20" s="3"/>
      <c r="J20" s="3"/>
    </row>
    <row r="21" customFormat="false" ht="30" hidden="false" customHeight="true" outlineLevel="0" collapsed="false">
      <c r="B21" s="11" t="s">
        <v>198</v>
      </c>
      <c r="C21" s="11" t="s">
        <v>772</v>
      </c>
      <c r="D21" s="11" t="s">
        <v>773</v>
      </c>
      <c r="E21" s="11" t="s">
        <v>774</v>
      </c>
    </row>
    <row r="22" customFormat="false" ht="55.5" hidden="false" customHeight="true" outlineLevel="0" collapsed="false">
      <c r="B22" s="26" t="s">
        <v>775</v>
      </c>
      <c r="C22" s="13" t="s">
        <v>776</v>
      </c>
      <c r="D22" s="13" t="s">
        <v>777</v>
      </c>
      <c r="E22" s="13" t="s">
        <v>778</v>
      </c>
    </row>
    <row r="23" customFormat="false" ht="55.5" hidden="false" customHeight="true" outlineLevel="0" collapsed="false">
      <c r="B23" s="26" t="s">
        <v>779</v>
      </c>
      <c r="C23" s="13" t="s">
        <v>780</v>
      </c>
      <c r="D23" s="13" t="s">
        <v>781</v>
      </c>
      <c r="E23" s="13" t="s">
        <v>782</v>
      </c>
    </row>
    <row r="24" customFormat="false" ht="55.5" hidden="false" customHeight="true" outlineLevel="0" collapsed="false">
      <c r="B24" s="26" t="s">
        <v>783</v>
      </c>
      <c r="C24" s="13" t="s">
        <v>784</v>
      </c>
      <c r="D24" s="13" t="s">
        <v>785</v>
      </c>
      <c r="E24" s="13" t="s">
        <v>786</v>
      </c>
    </row>
    <row r="25" customFormat="false" ht="55.5" hidden="false" customHeight="true" outlineLevel="0" collapsed="false">
      <c r="B25" s="26" t="s">
        <v>787</v>
      </c>
      <c r="C25" s="13" t="s">
        <v>788</v>
      </c>
      <c r="D25" s="13" t="s">
        <v>789</v>
      </c>
      <c r="E25" s="13" t="s">
        <v>790</v>
      </c>
    </row>
    <row r="26" customFormat="false" ht="6.75" hidden="false" customHeight="true" outlineLevel="0" collapsed="false"/>
    <row r="27" customFormat="false" ht="57.75" hidden="false" customHeight="true" outlineLevel="0" collapsed="false">
      <c r="B27" s="29" t="s">
        <v>791</v>
      </c>
      <c r="C27" s="29"/>
      <c r="D27" s="29"/>
      <c r="E27" s="29"/>
      <c r="F27" s="29"/>
      <c r="G27" s="29"/>
      <c r="H27" s="29"/>
      <c r="I27" s="29"/>
      <c r="J27" s="29"/>
    </row>
    <row r="28" customFormat="false" ht="6.75" hidden="false" customHeight="true" outlineLevel="0" collapsed="false"/>
    <row r="29" customFormat="false" ht="21.75" hidden="false" customHeight="true" outlineLevel="0" collapsed="false">
      <c r="B29" s="3" t="s">
        <v>792</v>
      </c>
      <c r="C29" s="3"/>
      <c r="D29" s="3"/>
      <c r="E29" s="3"/>
      <c r="F29" s="3"/>
      <c r="G29" s="3"/>
      <c r="H29" s="3"/>
      <c r="I29" s="3"/>
      <c r="J29" s="3"/>
    </row>
    <row r="30" customFormat="false" ht="69" hidden="false" customHeight="true" outlineLevel="0" collapsed="false">
      <c r="B30" s="4" t="s">
        <v>793</v>
      </c>
      <c r="C30" s="4"/>
      <c r="D30" s="4"/>
      <c r="E30" s="4"/>
      <c r="F30" s="4"/>
      <c r="G30" s="4"/>
      <c r="H30" s="4"/>
      <c r="I30" s="4"/>
      <c r="J30" s="4"/>
    </row>
    <row r="31" customFormat="false" ht="57.75" hidden="false" customHeight="true" outlineLevel="0" collapsed="false">
      <c r="B31" s="10" t="s">
        <v>794</v>
      </c>
      <c r="C31" s="10"/>
      <c r="D31" s="10"/>
      <c r="E31" s="10"/>
      <c r="F31" s="10"/>
      <c r="G31" s="10"/>
      <c r="H31" s="10"/>
      <c r="I31" s="10"/>
      <c r="J31" s="10"/>
    </row>
  </sheetData>
  <mergeCells count="10">
    <mergeCell ref="B2:J2"/>
    <mergeCell ref="B3:J3"/>
    <mergeCell ref="B5:J5"/>
    <mergeCell ref="B6:J6"/>
    <mergeCell ref="B18:J18"/>
    <mergeCell ref="B20:J20"/>
    <mergeCell ref="B27:J27"/>
    <mergeCell ref="B29:J29"/>
    <mergeCell ref="B30:J30"/>
    <mergeCell ref="B31:J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I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4" min="3" style="0" width="11"/>
    <col collapsed="false" customWidth="true" hidden="false" outlineLevel="0" max="6" min="5" style="0" width="10"/>
    <col collapsed="false" customWidth="true" hidden="false" outlineLevel="0" max="7" min="7" style="0" width="11"/>
    <col collapsed="false" customWidth="true" hidden="false" outlineLevel="0" max="8" min="8" style="0" width="12"/>
    <col collapsed="false" customWidth="true" hidden="false" outlineLevel="0" max="9" min="9" style="0" width="58"/>
  </cols>
  <sheetData>
    <row r="2" customFormat="false" ht="30" hidden="false" customHeight="true" outlineLevel="0" collapsed="false">
      <c r="B2" s="1" t="s">
        <v>795</v>
      </c>
      <c r="C2" s="1"/>
      <c r="D2" s="1"/>
      <c r="E2" s="1"/>
      <c r="F2" s="1"/>
      <c r="G2" s="1"/>
      <c r="H2" s="1"/>
      <c r="I2" s="1"/>
    </row>
    <row r="3" customFormat="false" ht="19.5" hidden="false" customHeight="true" outlineLevel="0" collapsed="false">
      <c r="B3" s="2" t="s">
        <v>796</v>
      </c>
      <c r="C3" s="2"/>
      <c r="D3" s="2"/>
      <c r="E3" s="2"/>
      <c r="F3" s="2"/>
      <c r="G3" s="2"/>
      <c r="H3" s="2"/>
      <c r="I3" s="2"/>
    </row>
    <row r="4" customFormat="false" ht="6.75" hidden="false" customHeight="true" outlineLevel="0" collapsed="false"/>
    <row r="5" customFormat="false" ht="55.5" hidden="false" customHeight="true" outlineLevel="0" collapsed="false">
      <c r="B5" s="4" t="s">
        <v>797</v>
      </c>
      <c r="C5" s="4"/>
      <c r="D5" s="4"/>
      <c r="E5" s="4"/>
      <c r="F5" s="4"/>
      <c r="G5" s="4"/>
      <c r="H5" s="4"/>
      <c r="I5" s="4"/>
    </row>
    <row r="6" customFormat="false" ht="6.75" hidden="false" customHeight="true" outlineLevel="0" collapsed="false"/>
    <row r="7" customFormat="false" ht="21.75" hidden="false" customHeight="true" outlineLevel="0" collapsed="false">
      <c r="B7" s="3" t="s">
        <v>798</v>
      </c>
      <c r="C7" s="3"/>
      <c r="D7" s="3"/>
      <c r="E7" s="3"/>
      <c r="F7" s="3"/>
      <c r="G7" s="3"/>
      <c r="H7" s="3"/>
      <c r="I7" s="3"/>
    </row>
    <row r="8" customFormat="false" ht="30" hidden="false" customHeight="true" outlineLevel="0" collapsed="false">
      <c r="B8" s="11" t="s">
        <v>186</v>
      </c>
      <c r="C8" s="11" t="s">
        <v>250</v>
      </c>
      <c r="D8" s="11" t="s">
        <v>799</v>
      </c>
      <c r="E8" s="11" t="s">
        <v>800</v>
      </c>
      <c r="F8" s="11" t="s">
        <v>801</v>
      </c>
      <c r="G8" s="11" t="s">
        <v>802</v>
      </c>
      <c r="H8" s="11" t="s">
        <v>803</v>
      </c>
      <c r="I8" s="11" t="s">
        <v>722</v>
      </c>
    </row>
    <row r="9" customFormat="false" ht="31.5" hidden="false" customHeight="true" outlineLevel="0" collapsed="false">
      <c r="B9" s="26" t="s">
        <v>424</v>
      </c>
      <c r="C9" s="18" t="s">
        <v>256</v>
      </c>
      <c r="D9" s="32" t="n">
        <f aca="false">06_Chunks!$E$8</f>
        <v>33</v>
      </c>
      <c r="E9" s="52" t="n">
        <f aca="false">SUMPRODUCT((07_Term_Matrix!$D$8:$D$64&gt;0)*1,$E$33:$E$89,(07_Term_Matrix!E$8:E$64*(00_START_HERE!$C$10+1))/(07_Term_Matrix!E$8:E$64+00_START_HERE!$C$10*(1-00_START_HERE!$C$11+00_START_HERE!$C$11*D9/$D$28)))</f>
        <v>0</v>
      </c>
      <c r="F9" s="32" t="n">
        <f aca="false">RANK(E9,$E$9:$E$26)</f>
        <v>7</v>
      </c>
      <c r="G9" s="32" t="n">
        <f aca="false">12_Similarity_Search!$F$9</f>
        <v>14</v>
      </c>
      <c r="H9" s="32" t="str">
        <f aca="false">IF(F9=G9,"same",IF(F9&lt;G9,"up "&amp;G9-F9,"down "&amp;F9-G9))</f>
        <v>up 7</v>
      </c>
      <c r="I9" s="13" t="s">
        <v>426</v>
      </c>
    </row>
    <row r="10" customFormat="false" ht="31.5" hidden="false" customHeight="true" outlineLevel="0" collapsed="false">
      <c r="B10" s="26" t="s">
        <v>427</v>
      </c>
      <c r="C10" s="18" t="s">
        <v>256</v>
      </c>
      <c r="D10" s="32" t="n">
        <f aca="false">06_Chunks!$E$9</f>
        <v>39</v>
      </c>
      <c r="E10" s="52" t="n">
        <f aca="false">SUMPRODUCT((07_Term_Matrix!$D$8:$D$64&gt;0)*1,$E$33:$E$89,(07_Term_Matrix!F$8:F$64*(00_START_HERE!$C$10+1))/(07_Term_Matrix!F$8:F$64+00_START_HERE!$C$10*(1-00_START_HERE!$C$11+00_START_HERE!$C$11*D10/$D$28)))</f>
        <v>0</v>
      </c>
      <c r="F10" s="32" t="n">
        <f aca="false">RANK(E10,$E$9:$E$26)</f>
        <v>7</v>
      </c>
      <c r="G10" s="32" t="n">
        <f aca="false">12_Similarity_Search!$F$10</f>
        <v>14</v>
      </c>
      <c r="H10" s="32" t="str">
        <f aca="false">IF(F10=G10,"same",IF(F10&lt;G10,"up "&amp;G10-F10,"down "&amp;F10-G10))</f>
        <v>up 7</v>
      </c>
      <c r="I10" s="13" t="s">
        <v>429</v>
      </c>
    </row>
    <row r="11" customFormat="false" ht="31.5" hidden="false" customHeight="true" outlineLevel="0" collapsed="false">
      <c r="B11" s="26" t="s">
        <v>430</v>
      </c>
      <c r="C11" s="18" t="s">
        <v>261</v>
      </c>
      <c r="D11" s="32" t="n">
        <f aca="false">06_Chunks!$E$10</f>
        <v>41</v>
      </c>
      <c r="E11" s="52" t="n">
        <f aca="false">SUMPRODUCT((07_Term_Matrix!$D$8:$D$64&gt;0)*1,$E$33:$E$89,(07_Term_Matrix!G$8:G$64*(00_START_HERE!$C$10+1))/(07_Term_Matrix!G$8:G$64+00_START_HERE!$C$10*(1-00_START_HERE!$C$11+00_START_HERE!$C$11*D11/$D$28)))</f>
        <v>0</v>
      </c>
      <c r="F11" s="32" t="n">
        <f aca="false">RANK(E11,$E$9:$E$26)</f>
        <v>7</v>
      </c>
      <c r="G11" s="32" t="n">
        <f aca="false">12_Similarity_Search!$F$11</f>
        <v>12</v>
      </c>
      <c r="H11" s="32" t="str">
        <f aca="false">IF(F11=G11,"same",IF(F11&lt;G11,"up "&amp;G11-F11,"down "&amp;F11-G11))</f>
        <v>up 5</v>
      </c>
      <c r="I11" s="13" t="s">
        <v>264</v>
      </c>
    </row>
    <row r="12" customFormat="false" ht="31.5" hidden="false" customHeight="true" outlineLevel="0" collapsed="false">
      <c r="B12" s="26" t="s">
        <v>432</v>
      </c>
      <c r="C12" s="18" t="s">
        <v>265</v>
      </c>
      <c r="D12" s="32" t="n">
        <f aca="false">06_Chunks!$E$11</f>
        <v>36</v>
      </c>
      <c r="E12" s="52" t="n">
        <f aca="false">SUMPRODUCT((07_Term_Matrix!$D$8:$D$64&gt;0)*1,$E$33:$E$89,(07_Term_Matrix!H$8:H$64*(00_START_HERE!$C$10+1))/(07_Term_Matrix!H$8:H$64+00_START_HERE!$C$10*(1-00_START_HERE!$C$11+00_START_HERE!$C$11*D12/$D$28)))</f>
        <v>0</v>
      </c>
      <c r="F12" s="32" t="n">
        <f aca="false">RANK(E12,$E$9:$E$26)</f>
        <v>7</v>
      </c>
      <c r="G12" s="32" t="n">
        <f aca="false">12_Similarity_Search!$F$12</f>
        <v>13</v>
      </c>
      <c r="H12" s="32" t="str">
        <f aca="false">IF(F12=G12,"same",IF(F12&lt;G12,"up "&amp;G12-F12,"down "&amp;F12-G12))</f>
        <v>up 6</v>
      </c>
      <c r="I12" s="13" t="s">
        <v>268</v>
      </c>
    </row>
    <row r="13" customFormat="false" ht="31.5" hidden="false" customHeight="true" outlineLevel="0" collapsed="false">
      <c r="B13" s="26" t="s">
        <v>433</v>
      </c>
      <c r="C13" s="18" t="s">
        <v>269</v>
      </c>
      <c r="D13" s="32" t="n">
        <f aca="false">06_Chunks!$E$12</f>
        <v>36</v>
      </c>
      <c r="E13" s="52" t="n">
        <f aca="false">SUMPRODUCT((07_Term_Matrix!$D$8:$D$64&gt;0)*1,$E$33:$E$89,(07_Term_Matrix!I$8:I$64*(00_START_HERE!$C$10+1))/(07_Term_Matrix!I$8:I$64+00_START_HERE!$C$10*(1-00_START_HERE!$C$11+00_START_HERE!$C$11*D13/$D$28)))</f>
        <v>0</v>
      </c>
      <c r="F13" s="32" t="n">
        <f aca="false">RANK(E13,$E$9:$E$26)</f>
        <v>7</v>
      </c>
      <c r="G13" s="32" t="n">
        <f aca="false">12_Similarity_Search!$F$13</f>
        <v>9</v>
      </c>
      <c r="H13" s="32" t="str">
        <f aca="false">IF(F13=G13,"same",IF(F13&lt;G13,"up "&amp;G13-F13,"down "&amp;F13-G13))</f>
        <v>up 2</v>
      </c>
      <c r="I13" s="13" t="s">
        <v>272</v>
      </c>
    </row>
    <row r="14" customFormat="false" ht="31.5" hidden="false" customHeight="true" outlineLevel="0" collapsed="false">
      <c r="B14" s="26" t="s">
        <v>434</v>
      </c>
      <c r="C14" s="18" t="s">
        <v>273</v>
      </c>
      <c r="D14" s="32" t="n">
        <f aca="false">06_Chunks!$E$13</f>
        <v>39</v>
      </c>
      <c r="E14" s="52" t="n">
        <f aca="false">SUMPRODUCT((07_Term_Matrix!$D$8:$D$64&gt;0)*1,$E$33:$E$89,(07_Term_Matrix!J$8:J$64*(00_START_HERE!$C$10+1))/(07_Term_Matrix!J$8:J$64+00_START_HERE!$C$10*(1-00_START_HERE!$C$11+00_START_HERE!$C$11*D14/$D$28)))</f>
        <v>0</v>
      </c>
      <c r="F14" s="32" t="n">
        <f aca="false">RANK(E14,$E$9:$E$26)</f>
        <v>7</v>
      </c>
      <c r="G14" s="32" t="n">
        <f aca="false">12_Similarity_Search!$F$14</f>
        <v>5</v>
      </c>
      <c r="H14" s="32" t="str">
        <f aca="false">IF(F14=G14,"same",IF(F14&lt;G14,"up "&amp;G14-F14,"down "&amp;F14-G14))</f>
        <v>down 2</v>
      </c>
      <c r="I14" s="13" t="s">
        <v>276</v>
      </c>
    </row>
    <row r="15" customFormat="false" ht="31.5" hidden="false" customHeight="true" outlineLevel="0" collapsed="false">
      <c r="B15" s="27" t="s">
        <v>435</v>
      </c>
      <c r="C15" s="18" t="s">
        <v>277</v>
      </c>
      <c r="D15" s="32" t="n">
        <f aca="false">06_Chunks!$E$14</f>
        <v>38</v>
      </c>
      <c r="E15" s="52" t="n">
        <f aca="false">SUMPRODUCT((07_Term_Matrix!$D$8:$D$64&gt;0)*1,$E$33:$E$89,(07_Term_Matrix!K$8:K$64*(00_START_HERE!$C$10+1))/(07_Term_Matrix!K$8:K$64+00_START_HERE!$C$10*(1-00_START_HERE!$C$11+00_START_HERE!$C$11*D15/$D$28)))</f>
        <v>2.82873308174977</v>
      </c>
      <c r="F15" s="32" t="n">
        <f aca="false">RANK(E15,$E$9:$E$26)</f>
        <v>4</v>
      </c>
      <c r="G15" s="32" t="n">
        <f aca="false">12_Similarity_Search!$F$15</f>
        <v>6</v>
      </c>
      <c r="H15" s="32" t="str">
        <f aca="false">IF(F15=G15,"same",IF(F15&lt;G15,"up "&amp;G15-F15,"down "&amp;F15-G15))</f>
        <v>up 2</v>
      </c>
      <c r="I15" s="13" t="s">
        <v>436</v>
      </c>
    </row>
    <row r="16" customFormat="false" ht="31.5" hidden="false" customHeight="true" outlineLevel="0" collapsed="false">
      <c r="B16" s="27" t="s">
        <v>437</v>
      </c>
      <c r="C16" s="18" t="s">
        <v>277</v>
      </c>
      <c r="D16" s="32" t="n">
        <f aca="false">06_Chunks!$E$15</f>
        <v>35</v>
      </c>
      <c r="E16" s="52" t="n">
        <f aca="false">SUMPRODUCT((07_Term_Matrix!$D$8:$D$64&gt;0)*1,$E$33:$E$89,(07_Term_Matrix!L$8:L$64*(00_START_HERE!$C$10+1))/(07_Term_Matrix!L$8:L$64+00_START_HERE!$C$10*(1-00_START_HERE!$C$11+00_START_HERE!$C$11*D16/$D$28)))</f>
        <v>6.53362887331244</v>
      </c>
      <c r="F16" s="32" t="n">
        <f aca="false">RANK(E16,$E$9:$E$26)</f>
        <v>1</v>
      </c>
      <c r="G16" s="32" t="n">
        <f aca="false">12_Similarity_Search!$F$16</f>
        <v>2</v>
      </c>
      <c r="H16" s="32" t="str">
        <f aca="false">IF(F16=G16,"same",IF(F16&lt;G16,"up "&amp;G16-F16,"down "&amp;F16-G16))</f>
        <v>up 1</v>
      </c>
      <c r="I16" s="13" t="s">
        <v>438</v>
      </c>
    </row>
    <row r="17" customFormat="false" ht="31.5" hidden="false" customHeight="true" outlineLevel="0" collapsed="false">
      <c r="B17" s="26" t="s">
        <v>439</v>
      </c>
      <c r="C17" s="18" t="s">
        <v>281</v>
      </c>
      <c r="D17" s="32" t="n">
        <f aca="false">06_Chunks!$E$16</f>
        <v>36</v>
      </c>
      <c r="E17" s="52" t="n">
        <f aca="false">SUMPRODUCT((07_Term_Matrix!$D$8:$D$64&gt;0)*1,$E$33:$E$89,(07_Term_Matrix!M$8:M$64*(00_START_HERE!$C$10+1))/(07_Term_Matrix!M$8:M$64+00_START_HERE!$C$10*(1-00_START_HERE!$C$11+00_START_HERE!$C$11*D17/$D$28)))</f>
        <v>1.42823505831017</v>
      </c>
      <c r="F17" s="32" t="n">
        <f aca="false">RANK(E17,$E$9:$E$26)</f>
        <v>6</v>
      </c>
      <c r="G17" s="32" t="n">
        <f aca="false">12_Similarity_Search!$F$17</f>
        <v>4</v>
      </c>
      <c r="H17" s="32" t="str">
        <f aca="false">IF(F17=G17,"same",IF(F17&lt;G17,"up "&amp;G17-F17,"down "&amp;F17-G17))</f>
        <v>down 2</v>
      </c>
      <c r="I17" s="13" t="s">
        <v>284</v>
      </c>
    </row>
    <row r="18" customFormat="false" ht="31.5" hidden="false" customHeight="true" outlineLevel="0" collapsed="false">
      <c r="B18" s="33" t="s">
        <v>440</v>
      </c>
      <c r="C18" s="18" t="s">
        <v>285</v>
      </c>
      <c r="D18" s="32" t="n">
        <f aca="false">06_Chunks!$E$17</f>
        <v>33</v>
      </c>
      <c r="E18" s="52" t="n">
        <f aca="false">SUMPRODUCT((07_Term_Matrix!$D$8:$D$64&gt;0)*1,$E$33:$E$89,(07_Term_Matrix!N$8:N$64*(00_START_HERE!$C$10+1))/(07_Term_Matrix!N$8:N$64+00_START_HERE!$C$10*(1-00_START_HERE!$C$11+00_START_HERE!$C$11*D18/$D$28)))</f>
        <v>4.97145009232499</v>
      </c>
      <c r="F18" s="32" t="n">
        <f aca="false">RANK(E18,$E$9:$E$26)</f>
        <v>2</v>
      </c>
      <c r="G18" s="32" t="n">
        <f aca="false">12_Similarity_Search!$F$18</f>
        <v>1</v>
      </c>
      <c r="H18" s="32" t="str">
        <f aca="false">IF(F18=G18,"same",IF(F18&lt;G18,"up "&amp;G18-F18,"down "&amp;F18-G18))</f>
        <v>down 1</v>
      </c>
      <c r="I18" s="13" t="s">
        <v>441</v>
      </c>
    </row>
    <row r="19" customFormat="false" ht="31.5" hidden="false" customHeight="true" outlineLevel="0" collapsed="false">
      <c r="B19" s="33" t="s">
        <v>442</v>
      </c>
      <c r="C19" s="18" t="s">
        <v>285</v>
      </c>
      <c r="D19" s="32" t="n">
        <f aca="false">06_Chunks!$E$18</f>
        <v>42</v>
      </c>
      <c r="E19" s="52" t="n">
        <f aca="false">SUMPRODUCT((07_Term_Matrix!$D$8:$D$64&gt;0)*1,$E$33:$E$89,(07_Term_Matrix!O$8:O$64*(00_START_HERE!$C$10+1))/(07_Term_Matrix!O$8:O$64+00_START_HERE!$C$10*(1-00_START_HERE!$C$11+00_START_HERE!$C$11*D19/$D$28)))</f>
        <v>4.44620558257065</v>
      </c>
      <c r="F19" s="32" t="n">
        <f aca="false">RANK(E19,$E$9:$E$26)</f>
        <v>3</v>
      </c>
      <c r="G19" s="32" t="n">
        <f aca="false">12_Similarity_Search!$F$19</f>
        <v>3</v>
      </c>
      <c r="H19" s="32" t="str">
        <f aca="false">IF(F19=G19,"same",IF(F19&lt;G19,"up "&amp;G19-F19,"down "&amp;F19-G19))</f>
        <v>same</v>
      </c>
      <c r="I19" s="13" t="s">
        <v>443</v>
      </c>
    </row>
    <row r="20" customFormat="false" ht="31.5" hidden="false" customHeight="true" outlineLevel="0" collapsed="false">
      <c r="B20" s="26" t="s">
        <v>444</v>
      </c>
      <c r="C20" s="18" t="s">
        <v>289</v>
      </c>
      <c r="D20" s="32" t="n">
        <f aca="false">06_Chunks!$E$19</f>
        <v>35</v>
      </c>
      <c r="E20" s="52" t="n">
        <f aca="false">SUMPRODUCT((07_Term_Matrix!$D$8:$D$64&gt;0)*1,$E$33:$E$89,(07_Term_Matrix!P$8:P$64*(00_START_HERE!$C$10+1))/(07_Term_Matrix!P$8:P$64+00_START_HERE!$C$10*(1-00_START_HERE!$C$11+00_START_HERE!$C$11*D20/$D$28)))</f>
        <v>0</v>
      </c>
      <c r="F20" s="32" t="n">
        <f aca="false">RANK(E20,$E$9:$E$26)</f>
        <v>7</v>
      </c>
      <c r="G20" s="32" t="n">
        <f aca="false">12_Similarity_Search!$F$20</f>
        <v>8</v>
      </c>
      <c r="H20" s="32" t="str">
        <f aca="false">IF(F20=G20,"same",IF(F20&lt;G20,"up "&amp;G20-F20,"down "&amp;F20-G20))</f>
        <v>up 1</v>
      </c>
      <c r="I20" s="13" t="s">
        <v>293</v>
      </c>
    </row>
    <row r="21" customFormat="false" ht="31.5" hidden="false" customHeight="true" outlineLevel="0" collapsed="false">
      <c r="B21" s="26" t="s">
        <v>445</v>
      </c>
      <c r="C21" s="18" t="s">
        <v>294</v>
      </c>
      <c r="D21" s="32" t="n">
        <f aca="false">06_Chunks!$E$20</f>
        <v>35</v>
      </c>
      <c r="E21" s="52" t="n">
        <f aca="false">SUMPRODUCT((07_Term_Matrix!$D$8:$D$64&gt;0)*1,$E$33:$E$89,(07_Term_Matrix!Q$8:Q$64*(00_START_HERE!$C$10+1))/(07_Term_Matrix!Q$8:Q$64+00_START_HERE!$C$10*(1-00_START_HERE!$C$11+00_START_HERE!$C$11*D21/$D$28)))</f>
        <v>0</v>
      </c>
      <c r="F21" s="32" t="n">
        <f aca="false">RANK(E21,$E$9:$E$26)</f>
        <v>7</v>
      </c>
      <c r="G21" s="32" t="n">
        <f aca="false">12_Similarity_Search!$F$21</f>
        <v>10</v>
      </c>
      <c r="H21" s="32" t="str">
        <f aca="false">IF(F21=G21,"same",IF(F21&lt;G21,"up "&amp;G21-F21,"down "&amp;F21-G21))</f>
        <v>up 3</v>
      </c>
      <c r="I21" s="13" t="s">
        <v>296</v>
      </c>
    </row>
    <row r="22" customFormat="false" ht="31.5" hidden="false" customHeight="true" outlineLevel="0" collapsed="false">
      <c r="B22" s="26" t="s">
        <v>446</v>
      </c>
      <c r="C22" s="18" t="s">
        <v>297</v>
      </c>
      <c r="D22" s="32" t="n">
        <f aca="false">06_Chunks!$E$21</f>
        <v>30</v>
      </c>
      <c r="E22" s="52" t="n">
        <f aca="false">SUMPRODUCT((07_Term_Matrix!$D$8:$D$64&gt;0)*1,$E$33:$E$89,(07_Term_Matrix!R$8:R$64*(00_START_HERE!$C$10+1))/(07_Term_Matrix!R$8:R$64+00_START_HERE!$C$10*(1-00_START_HERE!$C$11+00_START_HERE!$C$11*D22/$D$28)))</f>
        <v>0</v>
      </c>
      <c r="F22" s="32" t="n">
        <f aca="false">RANK(E22,$E$9:$E$26)</f>
        <v>7</v>
      </c>
      <c r="G22" s="32" t="n">
        <f aca="false">12_Similarity_Search!$F$22</f>
        <v>14</v>
      </c>
      <c r="H22" s="32" t="str">
        <f aca="false">IF(F22=G22,"same",IF(F22&lt;G22,"up "&amp;G22-F22,"down "&amp;F22-G22))</f>
        <v>up 7</v>
      </c>
      <c r="I22" s="13" t="s">
        <v>300</v>
      </c>
    </row>
    <row r="23" customFormat="false" ht="31.5" hidden="false" customHeight="true" outlineLevel="0" collapsed="false">
      <c r="B23" s="26" t="s">
        <v>447</v>
      </c>
      <c r="C23" s="18" t="s">
        <v>301</v>
      </c>
      <c r="D23" s="32" t="n">
        <f aca="false">06_Chunks!$E$22</f>
        <v>28</v>
      </c>
      <c r="E23" s="52" t="n">
        <f aca="false">SUMPRODUCT((07_Term_Matrix!$D$8:$D$64&gt;0)*1,$E$33:$E$89,(07_Term_Matrix!S$8:S$64*(00_START_HERE!$C$10+1))/(07_Term_Matrix!S$8:S$64+00_START_HERE!$C$10*(1-00_START_HERE!$C$11+00_START_HERE!$C$11*D23/$D$28)))</f>
        <v>0</v>
      </c>
      <c r="F23" s="32" t="n">
        <f aca="false">RANK(E23,$E$9:$E$26)</f>
        <v>7</v>
      </c>
      <c r="G23" s="32" t="n">
        <f aca="false">12_Similarity_Search!$F$23</f>
        <v>14</v>
      </c>
      <c r="H23" s="32" t="str">
        <f aca="false">IF(F23=G23,"same",IF(F23&lt;G23,"up "&amp;G23-F23,"down "&amp;F23-G23))</f>
        <v>up 7</v>
      </c>
      <c r="I23" s="13" t="s">
        <v>304</v>
      </c>
    </row>
    <row r="24" customFormat="false" ht="31.5" hidden="false" customHeight="true" outlineLevel="0" collapsed="false">
      <c r="B24" s="26" t="s">
        <v>448</v>
      </c>
      <c r="C24" s="18" t="s">
        <v>305</v>
      </c>
      <c r="D24" s="32" t="n">
        <f aca="false">06_Chunks!$E$23</f>
        <v>32</v>
      </c>
      <c r="E24" s="52" t="n">
        <f aca="false">SUMPRODUCT((07_Term_Matrix!$D$8:$D$64&gt;0)*1,$E$33:$E$89,(07_Term_Matrix!T$8:T$64*(00_START_HERE!$C$10+1))/(07_Term_Matrix!T$8:T$64+00_START_HERE!$C$10*(1-00_START_HERE!$C$11+00_START_HERE!$C$11*D24/$D$28)))</f>
        <v>1.76667642493728</v>
      </c>
      <c r="F24" s="32" t="n">
        <f aca="false">RANK(E24,$E$9:$E$26)</f>
        <v>5</v>
      </c>
      <c r="G24" s="32" t="n">
        <f aca="false">12_Similarity_Search!$F$24</f>
        <v>7</v>
      </c>
      <c r="H24" s="32" t="str">
        <f aca="false">IF(F24=G24,"same",IF(F24&lt;G24,"up "&amp;G24-F24,"down "&amp;F24-G24))</f>
        <v>up 2</v>
      </c>
      <c r="I24" s="13" t="s">
        <v>449</v>
      </c>
    </row>
    <row r="25" customFormat="false" ht="31.5" hidden="false" customHeight="true" outlineLevel="0" collapsed="false">
      <c r="B25" s="26" t="s">
        <v>450</v>
      </c>
      <c r="C25" s="18" t="s">
        <v>305</v>
      </c>
      <c r="D25" s="32" t="n">
        <f aca="false">06_Chunks!$E$24</f>
        <v>37</v>
      </c>
      <c r="E25" s="52" t="n">
        <f aca="false">SUMPRODUCT((07_Term_Matrix!$D$8:$D$64&gt;0)*1,$E$33:$E$89,(07_Term_Matrix!U$8:U$64*(00_START_HERE!$C$10+1))/(07_Term_Matrix!U$8:U$64+00_START_HERE!$C$10*(1-00_START_HERE!$C$11+00_START_HERE!$C$11*D25/$D$28)))</f>
        <v>0</v>
      </c>
      <c r="F25" s="32" t="n">
        <f aca="false">RANK(E25,$E$9:$E$26)</f>
        <v>7</v>
      </c>
      <c r="G25" s="32" t="n">
        <f aca="false">12_Similarity_Search!$F$25</f>
        <v>11</v>
      </c>
      <c r="H25" s="32" t="str">
        <f aca="false">IF(F25=G25,"same",IF(F25&lt;G25,"up "&amp;G25-F25,"down "&amp;F25-G25))</f>
        <v>up 4</v>
      </c>
      <c r="I25" s="13" t="s">
        <v>451</v>
      </c>
    </row>
    <row r="26" customFormat="false" ht="31.5" hidden="false" customHeight="true" outlineLevel="0" collapsed="false">
      <c r="B26" s="26" t="s">
        <v>452</v>
      </c>
      <c r="C26" s="18" t="s">
        <v>309</v>
      </c>
      <c r="D26" s="32" t="n">
        <f aca="false">06_Chunks!$E$25</f>
        <v>31</v>
      </c>
      <c r="E26" s="52" t="n">
        <f aca="false">SUMPRODUCT((07_Term_Matrix!$D$8:$D$64&gt;0)*1,$E$33:$E$89,(07_Term_Matrix!V$8:V$64*(00_START_HERE!$C$10+1))/(07_Term_Matrix!V$8:V$64+00_START_HERE!$C$10*(1-00_START_HERE!$C$11+00_START_HERE!$C$11*D26/$D$28)))</f>
        <v>0</v>
      </c>
      <c r="F26" s="32" t="n">
        <f aca="false">RANK(E26,$E$9:$E$26)</f>
        <v>7</v>
      </c>
      <c r="G26" s="32" t="n">
        <f aca="false">12_Similarity_Search!$F$26</f>
        <v>14</v>
      </c>
      <c r="H26" s="32" t="str">
        <f aca="false">IF(F26=G26,"same",IF(F26&lt;G26,"up "&amp;G26-F26,"down "&amp;F26-G26))</f>
        <v>up 7</v>
      </c>
      <c r="I26" s="13" t="s">
        <v>311</v>
      </c>
    </row>
    <row r="27" customFormat="false" ht="6.75" hidden="false" customHeight="true" outlineLevel="0" collapsed="false"/>
    <row r="28" customFormat="false" ht="15" hidden="false" customHeight="false" outlineLevel="0" collapsed="false">
      <c r="B28" s="35" t="s">
        <v>804</v>
      </c>
      <c r="D28" s="65" t="n">
        <f aca="false">AVERAGE(D9:D26)</f>
        <v>35.3333333333333</v>
      </c>
      <c r="E28" s="7" t="s">
        <v>805</v>
      </c>
    </row>
    <row r="29" customFormat="false" ht="6.75" hidden="false" customHeight="true" outlineLevel="0" collapsed="false"/>
    <row r="30" customFormat="false" ht="21.75" hidden="false" customHeight="true" outlineLevel="0" collapsed="false">
      <c r="B30" s="3" t="s">
        <v>806</v>
      </c>
      <c r="C30" s="3"/>
      <c r="D30" s="3"/>
      <c r="E30" s="3"/>
      <c r="F30" s="3"/>
      <c r="G30" s="3"/>
      <c r="H30" s="3"/>
      <c r="I30" s="3"/>
    </row>
    <row r="31" customFormat="false" ht="30" hidden="false" customHeight="true" outlineLevel="0" collapsed="false">
      <c r="B31" s="4" t="s">
        <v>807</v>
      </c>
      <c r="C31" s="4"/>
      <c r="D31" s="4"/>
      <c r="E31" s="4"/>
      <c r="F31" s="4"/>
      <c r="G31" s="4"/>
      <c r="H31" s="4"/>
      <c r="I31" s="4"/>
    </row>
    <row r="32" customFormat="false" ht="30" hidden="false" customHeight="true" outlineLevel="0" collapsed="false">
      <c r="B32" s="11" t="s">
        <v>460</v>
      </c>
      <c r="C32" s="11" t="s">
        <v>461</v>
      </c>
      <c r="D32" s="11" t="s">
        <v>808</v>
      </c>
      <c r="E32" s="11" t="s">
        <v>809</v>
      </c>
      <c r="F32" s="11" t="s">
        <v>810</v>
      </c>
    </row>
    <row r="33" customFormat="false" ht="13.5" hidden="false" customHeight="true" outlineLevel="0" collapsed="false">
      <c r="B33" s="18" t="s">
        <v>463</v>
      </c>
      <c r="C33" s="18" t="s">
        <v>464</v>
      </c>
      <c r="D33" s="32" t="n">
        <f aca="false">COUNTIF(07_Term_Matrix!$E$8:$V$8,"&gt;0")</f>
        <v>5</v>
      </c>
      <c r="E33" s="52" t="n">
        <f aca="false">LN((18-D33+0.5)/(D33+0.5)+1)</f>
        <v>1.23969088692802</v>
      </c>
      <c r="F33" s="32" t="str">
        <f aca="false">IF(07_Term_Matrix!$D$8&gt;0,"► YES","")</f>
        <v/>
      </c>
    </row>
    <row r="34" customFormat="false" ht="13.5" hidden="false" customHeight="true" outlineLevel="0" collapsed="false">
      <c r="B34" s="18" t="s">
        <v>465</v>
      </c>
      <c r="C34" s="18" t="s">
        <v>464</v>
      </c>
      <c r="D34" s="32" t="n">
        <f aca="false">COUNTIF(07_Term_Matrix!$E$9:$V$9,"&gt;0")</f>
        <v>1</v>
      </c>
      <c r="E34" s="52" t="n">
        <f aca="false">LN((18-D34+0.5)/(D34+0.5)+1)</f>
        <v>2.53897387105828</v>
      </c>
      <c r="F34" s="32" t="str">
        <f aca="false">IF(07_Term_Matrix!$D$9&gt;0,"► YES","")</f>
        <v/>
      </c>
    </row>
    <row r="35" customFormat="false" ht="13.5" hidden="false" customHeight="true" outlineLevel="0" collapsed="false">
      <c r="B35" s="18" t="s">
        <v>466</v>
      </c>
      <c r="C35" s="18" t="s">
        <v>464</v>
      </c>
      <c r="D35" s="32" t="n">
        <f aca="false">COUNTIF(07_Term_Matrix!$E$10:$V$10,"&gt;0")</f>
        <v>1</v>
      </c>
      <c r="E35" s="52" t="n">
        <f aca="false">LN((18-D35+0.5)/(D35+0.5)+1)</f>
        <v>2.53897387105828</v>
      </c>
      <c r="F35" s="32" t="str">
        <f aca="false">IF(07_Term_Matrix!$D$10&gt;0,"► YES","")</f>
        <v/>
      </c>
    </row>
    <row r="36" customFormat="false" ht="13.5" hidden="false" customHeight="true" outlineLevel="0" collapsed="false">
      <c r="B36" s="18" t="s">
        <v>467</v>
      </c>
      <c r="C36" s="18" t="s">
        <v>464</v>
      </c>
      <c r="D36" s="32" t="n">
        <f aca="false">COUNTIF(07_Term_Matrix!$E$11:$V$11,"&gt;0")</f>
        <v>1</v>
      </c>
      <c r="E36" s="52" t="n">
        <f aca="false">LN((18-D36+0.5)/(D36+0.5)+1)</f>
        <v>2.53897387105828</v>
      </c>
      <c r="F36" s="32" t="str">
        <f aca="false">IF(07_Term_Matrix!$D$11&gt;0,"► YES","")</f>
        <v/>
      </c>
    </row>
    <row r="37" customFormat="false" ht="13.5" hidden="false" customHeight="true" outlineLevel="0" collapsed="false">
      <c r="B37" s="18" t="s">
        <v>468</v>
      </c>
      <c r="C37" s="18" t="s">
        <v>464</v>
      </c>
      <c r="D37" s="32" t="n">
        <f aca="false">COUNTIF(07_Term_Matrix!$E$12:$V$12,"&gt;0")</f>
        <v>1</v>
      </c>
      <c r="E37" s="52" t="n">
        <f aca="false">LN((18-D37+0.5)/(D37+0.5)+1)</f>
        <v>2.53897387105828</v>
      </c>
      <c r="F37" s="32" t="str">
        <f aca="false">IF(07_Term_Matrix!$D$12&gt;0,"► YES","")</f>
        <v/>
      </c>
    </row>
    <row r="38" customFormat="false" ht="13.5" hidden="false" customHeight="true" outlineLevel="0" collapsed="false">
      <c r="B38" s="18" t="s">
        <v>469</v>
      </c>
      <c r="C38" s="18" t="s">
        <v>464</v>
      </c>
      <c r="D38" s="32" t="n">
        <f aca="false">COUNTIF(07_Term_Matrix!$E$13:$V$13,"&gt;0")</f>
        <v>2</v>
      </c>
      <c r="E38" s="52" t="n">
        <f aca="false">LN((18-D38+0.5)/(D38+0.5)+1)</f>
        <v>2.02814824729229</v>
      </c>
      <c r="F38" s="32" t="str">
        <f aca="false">IF(07_Term_Matrix!$D$13&gt;0,"► YES","")</f>
        <v/>
      </c>
    </row>
    <row r="39" customFormat="false" ht="13.5" hidden="false" customHeight="true" outlineLevel="0" collapsed="false">
      <c r="B39" s="18" t="s">
        <v>470</v>
      </c>
      <c r="C39" s="18" t="s">
        <v>471</v>
      </c>
      <c r="D39" s="32" t="n">
        <f aca="false">COUNTIF(07_Term_Matrix!$E$14:$V$14,"&gt;0")</f>
        <v>2</v>
      </c>
      <c r="E39" s="52" t="n">
        <f aca="false">LN((18-D39+0.5)/(D39+0.5)+1)</f>
        <v>2.02814824729229</v>
      </c>
      <c r="F39" s="32" t="str">
        <f aca="false">IF(07_Term_Matrix!$D$14&gt;0,"► YES","")</f>
        <v>► YES</v>
      </c>
    </row>
    <row r="40" customFormat="false" ht="13.5" hidden="false" customHeight="true" outlineLevel="0" collapsed="false">
      <c r="B40" s="18" t="s">
        <v>472</v>
      </c>
      <c r="C40" s="18" t="s">
        <v>471</v>
      </c>
      <c r="D40" s="32" t="n">
        <f aca="false">COUNTIF(07_Term_Matrix!$E$15:$V$15,"&gt;0")</f>
        <v>1</v>
      </c>
      <c r="E40" s="52" t="n">
        <f aca="false">LN((18-D40+0.5)/(D40+0.5)+1)</f>
        <v>2.53897387105828</v>
      </c>
      <c r="F40" s="32" t="str">
        <f aca="false">IF(07_Term_Matrix!$D$15&gt;0,"► YES","")</f>
        <v/>
      </c>
    </row>
    <row r="41" customFormat="false" ht="13.5" hidden="false" customHeight="true" outlineLevel="0" collapsed="false">
      <c r="B41" s="18" t="s">
        <v>473</v>
      </c>
      <c r="C41" s="18" t="s">
        <v>471</v>
      </c>
      <c r="D41" s="32" t="n">
        <f aca="false">COUNTIF(07_Term_Matrix!$E$16:$V$16,"&gt;0")</f>
        <v>2</v>
      </c>
      <c r="E41" s="52" t="n">
        <f aca="false">LN((18-D41+0.5)/(D41+0.5)+1)</f>
        <v>2.02814824729229</v>
      </c>
      <c r="F41" s="32" t="str">
        <f aca="false">IF(07_Term_Matrix!$D$16&gt;0,"► YES","")</f>
        <v/>
      </c>
    </row>
    <row r="42" customFormat="false" ht="13.5" hidden="false" customHeight="true" outlineLevel="0" collapsed="false">
      <c r="B42" s="18" t="s">
        <v>474</v>
      </c>
      <c r="C42" s="18" t="s">
        <v>471</v>
      </c>
      <c r="D42" s="32" t="n">
        <f aca="false">COUNTIF(07_Term_Matrix!$E$17:$V$17,"&gt;0")</f>
        <v>2</v>
      </c>
      <c r="E42" s="52" t="n">
        <f aca="false">LN((18-D42+0.5)/(D42+0.5)+1)</f>
        <v>2.02814824729229</v>
      </c>
      <c r="F42" s="32" t="str">
        <f aca="false">IF(07_Term_Matrix!$D$17&gt;0,"► YES","")</f>
        <v/>
      </c>
    </row>
    <row r="43" customFormat="false" ht="13.5" hidden="false" customHeight="true" outlineLevel="0" collapsed="false">
      <c r="B43" s="18" t="s">
        <v>475</v>
      </c>
      <c r="C43" s="18" t="s">
        <v>471</v>
      </c>
      <c r="D43" s="32" t="n">
        <f aca="false">COUNTIF(07_Term_Matrix!$E$18:$V$18,"&gt;0")</f>
        <v>3</v>
      </c>
      <c r="E43" s="52" t="n">
        <f aca="false">LN((18-D43+0.5)/(D43+0.5)+1)</f>
        <v>1.69167601067107</v>
      </c>
      <c r="F43" s="32" t="str">
        <f aca="false">IF(07_Term_Matrix!$D$18&gt;0,"► YES","")</f>
        <v/>
      </c>
    </row>
    <row r="44" customFormat="false" ht="13.5" hidden="false" customHeight="true" outlineLevel="0" collapsed="false">
      <c r="B44" s="18" t="s">
        <v>476</v>
      </c>
      <c r="C44" s="18" t="s">
        <v>471</v>
      </c>
      <c r="D44" s="32" t="n">
        <f aca="false">COUNTIF(07_Term_Matrix!$E$19:$V$19,"&gt;0")</f>
        <v>1</v>
      </c>
      <c r="E44" s="52" t="n">
        <f aca="false">LN((18-D44+0.5)/(D44+0.5)+1)</f>
        <v>2.53897387105828</v>
      </c>
      <c r="F44" s="32" t="str">
        <f aca="false">IF(07_Term_Matrix!$D$19&gt;0,"► YES","")</f>
        <v/>
      </c>
    </row>
    <row r="45" customFormat="false" ht="13.5" hidden="false" customHeight="true" outlineLevel="0" collapsed="false">
      <c r="B45" s="18" t="s">
        <v>477</v>
      </c>
      <c r="C45" s="18" t="s">
        <v>471</v>
      </c>
      <c r="D45" s="32" t="n">
        <f aca="false">COUNTIF(07_Term_Matrix!$E$20:$V$20,"&gt;0")</f>
        <v>3</v>
      </c>
      <c r="E45" s="52" t="n">
        <f aca="false">LN((18-D45+0.5)/(D45+0.5)+1)</f>
        <v>1.69167601067107</v>
      </c>
      <c r="F45" s="32" t="str">
        <f aca="false">IF(07_Term_Matrix!$D$20&gt;0,"► YES","")</f>
        <v/>
      </c>
    </row>
    <row r="46" customFormat="false" ht="13.5" hidden="false" customHeight="true" outlineLevel="0" collapsed="false">
      <c r="B46" s="18" t="s">
        <v>478</v>
      </c>
      <c r="C46" s="18" t="s">
        <v>471</v>
      </c>
      <c r="D46" s="32" t="n">
        <f aca="false">COUNTIF(07_Term_Matrix!$E$21:$V$21,"&gt;0")</f>
        <v>3</v>
      </c>
      <c r="E46" s="52" t="n">
        <f aca="false">LN((18-D46+0.5)/(D46+0.5)+1)</f>
        <v>1.69167601067107</v>
      </c>
      <c r="F46" s="32" t="str">
        <f aca="false">IF(07_Term_Matrix!$D$21&gt;0,"► YES","")</f>
        <v/>
      </c>
    </row>
    <row r="47" customFormat="false" ht="13.5" hidden="false" customHeight="true" outlineLevel="0" collapsed="false">
      <c r="B47" s="18" t="s">
        <v>479</v>
      </c>
      <c r="C47" s="18" t="s">
        <v>471</v>
      </c>
      <c r="D47" s="32" t="n">
        <f aca="false">COUNTIF(07_Term_Matrix!$E$22:$V$22,"&gt;0")</f>
        <v>3</v>
      </c>
      <c r="E47" s="52" t="n">
        <f aca="false">LN((18-D47+0.5)/(D47+0.5)+1)</f>
        <v>1.69167601067107</v>
      </c>
      <c r="F47" s="32" t="str">
        <f aca="false">IF(07_Term_Matrix!$D$22&gt;0,"► YES","")</f>
        <v/>
      </c>
    </row>
    <row r="48" customFormat="false" ht="13.5" hidden="false" customHeight="true" outlineLevel="0" collapsed="false">
      <c r="B48" s="18" t="s">
        <v>480</v>
      </c>
      <c r="C48" s="18" t="s">
        <v>471</v>
      </c>
      <c r="D48" s="32" t="n">
        <f aca="false">COUNTIF(07_Term_Matrix!$E$23:$V$23,"&gt;0")</f>
        <v>4</v>
      </c>
      <c r="E48" s="52" t="n">
        <f aca="false">LN((18-D48+0.5)/(D48+0.5)+1)</f>
        <v>1.44036158239017</v>
      </c>
      <c r="F48" s="32" t="str">
        <f aca="false">IF(07_Term_Matrix!$D$23&gt;0,"► YES","")</f>
        <v/>
      </c>
    </row>
    <row r="49" customFormat="false" ht="13.5" hidden="false" customHeight="true" outlineLevel="0" collapsed="false">
      <c r="B49" s="18" t="s">
        <v>481</v>
      </c>
      <c r="C49" s="18" t="s">
        <v>471</v>
      </c>
      <c r="D49" s="32" t="n">
        <f aca="false">COUNTIF(07_Term_Matrix!$E$24:$V$24,"&gt;0")</f>
        <v>2</v>
      </c>
      <c r="E49" s="52" t="n">
        <f aca="false">LN((18-D49+0.5)/(D49+0.5)+1)</f>
        <v>2.02814824729229</v>
      </c>
      <c r="F49" s="32" t="str">
        <f aca="false">IF(07_Term_Matrix!$D$24&gt;0,"► YES","")</f>
        <v/>
      </c>
    </row>
    <row r="50" customFormat="false" ht="13.5" hidden="false" customHeight="true" outlineLevel="0" collapsed="false">
      <c r="B50" s="18" t="s">
        <v>482</v>
      </c>
      <c r="C50" s="18" t="s">
        <v>483</v>
      </c>
      <c r="D50" s="32" t="n">
        <f aca="false">COUNTIF(07_Term_Matrix!$E$25:$V$25,"&gt;0")</f>
        <v>4</v>
      </c>
      <c r="E50" s="52" t="n">
        <f aca="false">LN((18-D50+0.5)/(D50+0.5)+1)</f>
        <v>1.44036158239017</v>
      </c>
      <c r="F50" s="32" t="str">
        <f aca="false">IF(07_Term_Matrix!$D$25&gt;0,"► YES","")</f>
        <v/>
      </c>
    </row>
    <row r="51" customFormat="false" ht="13.5" hidden="false" customHeight="true" outlineLevel="0" collapsed="false">
      <c r="B51" s="18" t="s">
        <v>484</v>
      </c>
      <c r="C51" s="18" t="s">
        <v>483</v>
      </c>
      <c r="D51" s="32" t="n">
        <f aca="false">COUNTIF(07_Term_Matrix!$E$26:$V$26,"&gt;0")</f>
        <v>4</v>
      </c>
      <c r="E51" s="52" t="n">
        <f aca="false">LN((18-D51+0.5)/(D51+0.5)+1)</f>
        <v>1.44036158239017</v>
      </c>
      <c r="F51" s="32" t="str">
        <f aca="false">IF(07_Term_Matrix!$D$26&gt;0,"► YES","")</f>
        <v>► YES</v>
      </c>
    </row>
    <row r="52" customFormat="false" ht="13.5" hidden="false" customHeight="true" outlineLevel="0" collapsed="false">
      <c r="B52" s="18" t="s">
        <v>485</v>
      </c>
      <c r="C52" s="18" t="s">
        <v>483</v>
      </c>
      <c r="D52" s="32" t="n">
        <f aca="false">COUNTIF(07_Term_Matrix!$E$27:$V$27,"&gt;0")</f>
        <v>3</v>
      </c>
      <c r="E52" s="52" t="n">
        <f aca="false">LN((18-D52+0.5)/(D52+0.5)+1)</f>
        <v>1.69167601067107</v>
      </c>
      <c r="F52" s="32" t="str">
        <f aca="false">IF(07_Term_Matrix!$D$27&gt;0,"► YES","")</f>
        <v>► YES</v>
      </c>
    </row>
    <row r="53" customFormat="false" ht="13.5" hidden="false" customHeight="true" outlineLevel="0" collapsed="false">
      <c r="B53" s="18" t="s">
        <v>486</v>
      </c>
      <c r="C53" s="18" t="s">
        <v>483</v>
      </c>
      <c r="D53" s="32" t="n">
        <f aca="false">COUNTIF(07_Term_Matrix!$E$28:$V$28,"&gt;0")</f>
        <v>1</v>
      </c>
      <c r="E53" s="52" t="n">
        <f aca="false">LN((18-D53+0.5)/(D53+0.5)+1)</f>
        <v>2.53897387105828</v>
      </c>
      <c r="F53" s="32" t="str">
        <f aca="false">IF(07_Term_Matrix!$D$28&gt;0,"► YES","")</f>
        <v/>
      </c>
    </row>
    <row r="54" customFormat="false" ht="13.5" hidden="false" customHeight="true" outlineLevel="0" collapsed="false">
      <c r="B54" s="18" t="s">
        <v>487</v>
      </c>
      <c r="C54" s="18" t="s">
        <v>483</v>
      </c>
      <c r="D54" s="32" t="n">
        <f aca="false">COUNTIF(07_Term_Matrix!$E$29:$V$29,"&gt;0")</f>
        <v>0</v>
      </c>
      <c r="E54" s="52" t="n">
        <f aca="false">LN((18-D54+0.5)/(D54+0.5)+1)</f>
        <v>3.63758615972639</v>
      </c>
      <c r="F54" s="32" t="str">
        <f aca="false">IF(07_Term_Matrix!$D$29&gt;0,"► YES","")</f>
        <v/>
      </c>
    </row>
    <row r="55" customFormat="false" ht="13.5" hidden="false" customHeight="true" outlineLevel="0" collapsed="false">
      <c r="B55" s="18" t="s">
        <v>488</v>
      </c>
      <c r="C55" s="18" t="s">
        <v>489</v>
      </c>
      <c r="D55" s="32" t="n">
        <f aca="false">COUNTIF(07_Term_Matrix!$E$30:$V$30,"&gt;0")</f>
        <v>3</v>
      </c>
      <c r="E55" s="52" t="n">
        <f aca="false">LN((18-D55+0.5)/(D55+0.5)+1)</f>
        <v>1.69167601067107</v>
      </c>
      <c r="F55" s="32" t="str">
        <f aca="false">IF(07_Term_Matrix!$D$30&gt;0,"► YES","")</f>
        <v>► YES</v>
      </c>
    </row>
    <row r="56" customFormat="false" ht="13.5" hidden="false" customHeight="true" outlineLevel="0" collapsed="false">
      <c r="B56" s="18" t="s">
        <v>490</v>
      </c>
      <c r="C56" s="18" t="s">
        <v>489</v>
      </c>
      <c r="D56" s="32" t="n">
        <f aca="false">COUNTIF(07_Term_Matrix!$E$31:$V$31,"&gt;0")</f>
        <v>2</v>
      </c>
      <c r="E56" s="52" t="n">
        <f aca="false">LN((18-D56+0.5)/(D56+0.5)+1)</f>
        <v>2.02814824729229</v>
      </c>
      <c r="F56" s="32" t="str">
        <f aca="false">IF(07_Term_Matrix!$D$31&gt;0,"► YES","")</f>
        <v/>
      </c>
    </row>
    <row r="57" customFormat="false" ht="13.5" hidden="false" customHeight="true" outlineLevel="0" collapsed="false">
      <c r="B57" s="18" t="s">
        <v>491</v>
      </c>
      <c r="C57" s="18" t="s">
        <v>489</v>
      </c>
      <c r="D57" s="32" t="n">
        <f aca="false">COUNTIF(07_Term_Matrix!$E$32:$V$32,"&gt;0")</f>
        <v>1</v>
      </c>
      <c r="E57" s="52" t="n">
        <f aca="false">LN((18-D57+0.5)/(D57+0.5)+1)</f>
        <v>2.53897387105828</v>
      </c>
      <c r="F57" s="32" t="str">
        <f aca="false">IF(07_Term_Matrix!$D$32&gt;0,"► YES","")</f>
        <v/>
      </c>
    </row>
    <row r="58" customFormat="false" ht="13.5" hidden="false" customHeight="true" outlineLevel="0" collapsed="false">
      <c r="B58" s="18" t="s">
        <v>492</v>
      </c>
      <c r="C58" s="18" t="s">
        <v>489</v>
      </c>
      <c r="D58" s="32" t="n">
        <f aca="false">COUNTIF(07_Term_Matrix!$E$33:$V$33,"&gt;0")</f>
        <v>1</v>
      </c>
      <c r="E58" s="52" t="n">
        <f aca="false">LN((18-D58+0.5)/(D58+0.5)+1)</f>
        <v>2.53897387105828</v>
      </c>
      <c r="F58" s="32" t="str">
        <f aca="false">IF(07_Term_Matrix!$D$33&gt;0,"► YES","")</f>
        <v/>
      </c>
    </row>
    <row r="59" customFormat="false" ht="13.5" hidden="false" customHeight="true" outlineLevel="0" collapsed="false">
      <c r="B59" s="18" t="s">
        <v>493</v>
      </c>
      <c r="C59" s="18" t="s">
        <v>489</v>
      </c>
      <c r="D59" s="32" t="n">
        <f aca="false">COUNTIF(07_Term_Matrix!$E$34:$V$34,"&gt;0")</f>
        <v>1</v>
      </c>
      <c r="E59" s="52" t="n">
        <f aca="false">LN((18-D59+0.5)/(D59+0.5)+1)</f>
        <v>2.53897387105828</v>
      </c>
      <c r="F59" s="32" t="str">
        <f aca="false">IF(07_Term_Matrix!$D$34&gt;0,"► YES","")</f>
        <v/>
      </c>
    </row>
    <row r="60" customFormat="false" ht="13.5" hidden="false" customHeight="true" outlineLevel="0" collapsed="false">
      <c r="B60" s="18" t="s">
        <v>494</v>
      </c>
      <c r="C60" s="18" t="s">
        <v>489</v>
      </c>
      <c r="D60" s="32" t="n">
        <f aca="false">COUNTIF(07_Term_Matrix!$E$35:$V$35,"&gt;0")</f>
        <v>3</v>
      </c>
      <c r="E60" s="52" t="n">
        <f aca="false">LN((18-D60+0.5)/(D60+0.5)+1)</f>
        <v>1.69167601067107</v>
      </c>
      <c r="F60" s="32" t="str">
        <f aca="false">IF(07_Term_Matrix!$D$35&gt;0,"► YES","")</f>
        <v/>
      </c>
    </row>
    <row r="61" customFormat="false" ht="13.5" hidden="false" customHeight="true" outlineLevel="0" collapsed="false">
      <c r="B61" s="18" t="s">
        <v>495</v>
      </c>
      <c r="C61" s="18" t="s">
        <v>489</v>
      </c>
      <c r="D61" s="32" t="n">
        <f aca="false">COUNTIF(07_Term_Matrix!$E$36:$V$36,"&gt;0")</f>
        <v>3</v>
      </c>
      <c r="E61" s="52" t="n">
        <f aca="false">LN((18-D61+0.5)/(D61+0.5)+1)</f>
        <v>1.69167601067107</v>
      </c>
      <c r="F61" s="32" t="str">
        <f aca="false">IF(07_Term_Matrix!$D$36&gt;0,"► YES","")</f>
        <v/>
      </c>
    </row>
    <row r="62" customFormat="false" ht="13.5" hidden="false" customHeight="true" outlineLevel="0" collapsed="false">
      <c r="B62" s="18" t="s">
        <v>496</v>
      </c>
      <c r="C62" s="18" t="s">
        <v>489</v>
      </c>
      <c r="D62" s="32" t="n">
        <f aca="false">COUNTIF(07_Term_Matrix!$E$37:$V$37,"&gt;0")</f>
        <v>4</v>
      </c>
      <c r="E62" s="52" t="n">
        <f aca="false">LN((18-D62+0.5)/(D62+0.5)+1)</f>
        <v>1.44036158239017</v>
      </c>
      <c r="F62" s="32" t="str">
        <f aca="false">IF(07_Term_Matrix!$D$37&gt;0,"► YES","")</f>
        <v/>
      </c>
    </row>
    <row r="63" customFormat="false" ht="13.5" hidden="false" customHeight="true" outlineLevel="0" collapsed="false">
      <c r="B63" s="18" t="s">
        <v>497</v>
      </c>
      <c r="C63" s="18" t="s">
        <v>489</v>
      </c>
      <c r="D63" s="32" t="n">
        <f aca="false">COUNTIF(07_Term_Matrix!$E$38:$V$38,"&gt;0")</f>
        <v>1</v>
      </c>
      <c r="E63" s="52" t="n">
        <f aca="false">LN((18-D63+0.5)/(D63+0.5)+1)</f>
        <v>2.53897387105828</v>
      </c>
      <c r="F63" s="32" t="str">
        <f aca="false">IF(07_Term_Matrix!$D$38&gt;0,"► YES","")</f>
        <v/>
      </c>
    </row>
    <row r="64" customFormat="false" ht="13.5" hidden="false" customHeight="true" outlineLevel="0" collapsed="false">
      <c r="B64" s="18" t="s">
        <v>498</v>
      </c>
      <c r="C64" s="18" t="s">
        <v>489</v>
      </c>
      <c r="D64" s="32" t="n">
        <f aca="false">COUNTIF(07_Term_Matrix!$E$39:$V$39,"&gt;0")</f>
        <v>2</v>
      </c>
      <c r="E64" s="52" t="n">
        <f aca="false">LN((18-D64+0.5)/(D64+0.5)+1)</f>
        <v>2.02814824729229</v>
      </c>
      <c r="F64" s="32" t="str">
        <f aca="false">IF(07_Term_Matrix!$D$39&gt;0,"► YES","")</f>
        <v/>
      </c>
    </row>
    <row r="65" customFormat="false" ht="13.5" hidden="false" customHeight="true" outlineLevel="0" collapsed="false">
      <c r="B65" s="18" t="s">
        <v>499</v>
      </c>
      <c r="C65" s="18" t="s">
        <v>500</v>
      </c>
      <c r="D65" s="32" t="n">
        <f aca="false">COUNTIF(07_Term_Matrix!$E$40:$V$40,"&gt;0")</f>
        <v>4</v>
      </c>
      <c r="E65" s="52" t="n">
        <f aca="false">LN((18-D65+0.5)/(D65+0.5)+1)</f>
        <v>1.44036158239017</v>
      </c>
      <c r="F65" s="32" t="str">
        <f aca="false">IF(07_Term_Matrix!$D$40&gt;0,"► YES","")</f>
        <v/>
      </c>
    </row>
    <row r="66" customFormat="false" ht="13.5" hidden="false" customHeight="true" outlineLevel="0" collapsed="false">
      <c r="B66" s="18" t="s">
        <v>501</v>
      </c>
      <c r="C66" s="18" t="s">
        <v>500</v>
      </c>
      <c r="D66" s="32" t="n">
        <f aca="false">COUNTIF(07_Term_Matrix!$E$41:$V$41,"&gt;0")</f>
        <v>2</v>
      </c>
      <c r="E66" s="52" t="n">
        <f aca="false">LN((18-D66+0.5)/(D66+0.5)+1)</f>
        <v>2.02814824729229</v>
      </c>
      <c r="F66" s="32" t="str">
        <f aca="false">IF(07_Term_Matrix!$D$41&gt;0,"► YES","")</f>
        <v/>
      </c>
    </row>
    <row r="67" customFormat="false" ht="13.5" hidden="false" customHeight="true" outlineLevel="0" collapsed="false">
      <c r="B67" s="18" t="s">
        <v>502</v>
      </c>
      <c r="C67" s="18" t="s">
        <v>500</v>
      </c>
      <c r="D67" s="32" t="n">
        <f aca="false">COUNTIF(07_Term_Matrix!$E$42:$V$42,"&gt;0")</f>
        <v>1</v>
      </c>
      <c r="E67" s="52" t="n">
        <f aca="false">LN((18-D67+0.5)/(D67+0.5)+1)</f>
        <v>2.53897387105828</v>
      </c>
      <c r="F67" s="32" t="str">
        <f aca="false">IF(07_Term_Matrix!$D$42&gt;0,"► YES","")</f>
        <v/>
      </c>
    </row>
    <row r="68" customFormat="false" ht="13.5" hidden="false" customHeight="true" outlineLevel="0" collapsed="false">
      <c r="B68" s="18" t="s">
        <v>503</v>
      </c>
      <c r="C68" s="18" t="s">
        <v>500</v>
      </c>
      <c r="D68" s="32" t="n">
        <f aca="false">COUNTIF(07_Term_Matrix!$E$43:$V$43,"&gt;0")</f>
        <v>0</v>
      </c>
      <c r="E68" s="52" t="n">
        <f aca="false">LN((18-D68+0.5)/(D68+0.5)+1)</f>
        <v>3.63758615972639</v>
      </c>
      <c r="F68" s="32" t="str">
        <f aca="false">IF(07_Term_Matrix!$D$43&gt;0,"► YES","")</f>
        <v/>
      </c>
    </row>
    <row r="69" customFormat="false" ht="13.5" hidden="false" customHeight="true" outlineLevel="0" collapsed="false">
      <c r="B69" s="18" t="s">
        <v>504</v>
      </c>
      <c r="C69" s="18" t="s">
        <v>500</v>
      </c>
      <c r="D69" s="32" t="n">
        <f aca="false">COUNTIF(07_Term_Matrix!$E$44:$V$44,"&gt;0")</f>
        <v>2</v>
      </c>
      <c r="E69" s="52" t="n">
        <f aca="false">LN((18-D69+0.5)/(D69+0.5)+1)</f>
        <v>2.02814824729229</v>
      </c>
      <c r="F69" s="32" t="str">
        <f aca="false">IF(07_Term_Matrix!$D$44&gt;0,"► YES","")</f>
        <v/>
      </c>
    </row>
    <row r="70" customFormat="false" ht="13.5" hidden="false" customHeight="true" outlineLevel="0" collapsed="false">
      <c r="B70" s="18" t="s">
        <v>505</v>
      </c>
      <c r="C70" s="18" t="s">
        <v>500</v>
      </c>
      <c r="D70" s="32" t="n">
        <f aca="false">COUNTIF(07_Term_Matrix!$E$45:$V$45,"&gt;0")</f>
        <v>1</v>
      </c>
      <c r="E70" s="52" t="n">
        <f aca="false">LN((18-D70+0.5)/(D70+0.5)+1)</f>
        <v>2.53897387105828</v>
      </c>
      <c r="F70" s="32" t="str">
        <f aca="false">IF(07_Term_Matrix!$D$45&gt;0,"► YES","")</f>
        <v/>
      </c>
    </row>
    <row r="71" customFormat="false" ht="13.5" hidden="false" customHeight="true" outlineLevel="0" collapsed="false">
      <c r="B71" s="18" t="s">
        <v>506</v>
      </c>
      <c r="C71" s="18" t="s">
        <v>500</v>
      </c>
      <c r="D71" s="32" t="n">
        <f aca="false">COUNTIF(07_Term_Matrix!$E$46:$V$46,"&gt;0")</f>
        <v>2</v>
      </c>
      <c r="E71" s="52" t="n">
        <f aca="false">LN((18-D71+0.5)/(D71+0.5)+1)</f>
        <v>2.02814824729229</v>
      </c>
      <c r="F71" s="32" t="str">
        <f aca="false">IF(07_Term_Matrix!$D$46&gt;0,"► YES","")</f>
        <v/>
      </c>
    </row>
    <row r="72" customFormat="false" ht="13.5" hidden="false" customHeight="true" outlineLevel="0" collapsed="false">
      <c r="B72" s="18" t="s">
        <v>507</v>
      </c>
      <c r="C72" s="18" t="s">
        <v>500</v>
      </c>
      <c r="D72" s="32" t="n">
        <f aca="false">COUNTIF(07_Term_Matrix!$E$47:$V$47,"&gt;0")</f>
        <v>2</v>
      </c>
      <c r="E72" s="52" t="n">
        <f aca="false">LN((18-D72+0.5)/(D72+0.5)+1)</f>
        <v>2.02814824729229</v>
      </c>
      <c r="F72" s="32" t="str">
        <f aca="false">IF(07_Term_Matrix!$D$47&gt;0,"► YES","")</f>
        <v/>
      </c>
    </row>
    <row r="73" customFormat="false" ht="13.5" hidden="false" customHeight="true" outlineLevel="0" collapsed="false">
      <c r="B73" s="18" t="s">
        <v>508</v>
      </c>
      <c r="C73" s="18" t="s">
        <v>500</v>
      </c>
      <c r="D73" s="32" t="n">
        <f aca="false">COUNTIF(07_Term_Matrix!$E$48:$V$48,"&gt;0")</f>
        <v>1</v>
      </c>
      <c r="E73" s="52" t="n">
        <f aca="false">LN((18-D73+0.5)/(D73+0.5)+1)</f>
        <v>2.53897387105828</v>
      </c>
      <c r="F73" s="32" t="str">
        <f aca="false">IF(07_Term_Matrix!$D$48&gt;0,"► YES","")</f>
        <v/>
      </c>
    </row>
    <row r="74" customFormat="false" ht="13.5" hidden="false" customHeight="true" outlineLevel="0" collapsed="false">
      <c r="B74" s="18" t="s">
        <v>509</v>
      </c>
      <c r="C74" s="18" t="s">
        <v>500</v>
      </c>
      <c r="D74" s="32" t="n">
        <f aca="false">COUNTIF(07_Term_Matrix!$E$49:$V$49,"&gt;0")</f>
        <v>1</v>
      </c>
      <c r="E74" s="52" t="n">
        <f aca="false">LN((18-D74+0.5)/(D74+0.5)+1)</f>
        <v>2.53897387105828</v>
      </c>
      <c r="F74" s="32" t="str">
        <f aca="false">IF(07_Term_Matrix!$D$49&gt;0,"► YES","")</f>
        <v/>
      </c>
    </row>
    <row r="75" customFormat="false" ht="13.5" hidden="false" customHeight="true" outlineLevel="0" collapsed="false">
      <c r="B75" s="18" t="s">
        <v>510</v>
      </c>
      <c r="C75" s="18" t="s">
        <v>511</v>
      </c>
      <c r="D75" s="32" t="n">
        <f aca="false">COUNTIF(07_Term_Matrix!$E$50:$V$50,"&gt;0")</f>
        <v>8</v>
      </c>
      <c r="E75" s="52" t="n">
        <f aca="false">LN((18-D75+0.5)/(D75+0.5)+1)</f>
        <v>0.80437281567017</v>
      </c>
      <c r="F75" s="32" t="str">
        <f aca="false">IF(07_Term_Matrix!$D$50&gt;0,"► YES","")</f>
        <v/>
      </c>
    </row>
    <row r="76" customFormat="false" ht="13.5" hidden="false" customHeight="true" outlineLevel="0" collapsed="false">
      <c r="B76" s="18" t="s">
        <v>512</v>
      </c>
      <c r="C76" s="18" t="s">
        <v>511</v>
      </c>
      <c r="D76" s="32" t="n">
        <f aca="false">COUNTIF(07_Term_Matrix!$E$51:$V$51,"&gt;0")</f>
        <v>4</v>
      </c>
      <c r="E76" s="52" t="n">
        <f aca="false">LN((18-D76+0.5)/(D76+0.5)+1)</f>
        <v>1.44036158239017</v>
      </c>
      <c r="F76" s="32" t="str">
        <f aca="false">IF(07_Term_Matrix!$D$51&gt;0,"► YES","")</f>
        <v/>
      </c>
    </row>
    <row r="77" customFormat="false" ht="13.5" hidden="false" customHeight="true" outlineLevel="0" collapsed="false">
      <c r="B77" s="18" t="s">
        <v>513</v>
      </c>
      <c r="C77" s="18" t="s">
        <v>511</v>
      </c>
      <c r="D77" s="32" t="n">
        <f aca="false">COUNTIF(07_Term_Matrix!$E$52:$V$52,"&gt;0")</f>
        <v>3</v>
      </c>
      <c r="E77" s="52" t="n">
        <f aca="false">LN((18-D77+0.5)/(D77+0.5)+1)</f>
        <v>1.69167601067107</v>
      </c>
      <c r="F77" s="32" t="str">
        <f aca="false">IF(07_Term_Matrix!$D$52&gt;0,"► YES","")</f>
        <v/>
      </c>
    </row>
    <row r="78" customFormat="false" ht="13.5" hidden="false" customHeight="true" outlineLevel="0" collapsed="false">
      <c r="B78" s="18" t="s">
        <v>514</v>
      </c>
      <c r="C78" s="18" t="s">
        <v>511</v>
      </c>
      <c r="D78" s="32" t="n">
        <f aca="false">COUNTIF(07_Term_Matrix!$E$53:$V$53,"&gt;0")</f>
        <v>4</v>
      </c>
      <c r="E78" s="52" t="n">
        <f aca="false">LN((18-D78+0.5)/(D78+0.5)+1)</f>
        <v>1.44036158239017</v>
      </c>
      <c r="F78" s="32" t="str">
        <f aca="false">IF(07_Term_Matrix!$D$53&gt;0,"► YES","")</f>
        <v/>
      </c>
    </row>
    <row r="79" customFormat="false" ht="13.5" hidden="false" customHeight="true" outlineLevel="0" collapsed="false">
      <c r="B79" s="18" t="s">
        <v>515</v>
      </c>
      <c r="C79" s="18" t="s">
        <v>511</v>
      </c>
      <c r="D79" s="32" t="n">
        <f aca="false">COUNTIF(07_Term_Matrix!$E$54:$V$54,"&gt;0")</f>
        <v>0</v>
      </c>
      <c r="E79" s="52" t="n">
        <f aca="false">LN((18-D79+0.5)/(D79+0.5)+1)</f>
        <v>3.63758615972639</v>
      </c>
      <c r="F79" s="32" t="str">
        <f aca="false">IF(07_Term_Matrix!$D$54&gt;0,"► YES","")</f>
        <v/>
      </c>
    </row>
    <row r="80" customFormat="false" ht="13.5" hidden="false" customHeight="true" outlineLevel="0" collapsed="false">
      <c r="B80" s="18" t="s">
        <v>516</v>
      </c>
      <c r="C80" s="18" t="s">
        <v>511</v>
      </c>
      <c r="D80" s="32" t="n">
        <f aca="false">COUNTIF(07_Term_Matrix!$E$55:$V$55,"&gt;0")</f>
        <v>4</v>
      </c>
      <c r="E80" s="52" t="n">
        <f aca="false">LN((18-D80+0.5)/(D80+0.5)+1)</f>
        <v>1.44036158239017</v>
      </c>
      <c r="F80" s="32" t="str">
        <f aca="false">IF(07_Term_Matrix!$D$55&gt;0,"► YES","")</f>
        <v/>
      </c>
    </row>
    <row r="81" customFormat="false" ht="13.5" hidden="false" customHeight="true" outlineLevel="0" collapsed="false">
      <c r="B81" s="18" t="s">
        <v>517</v>
      </c>
      <c r="C81" s="18" t="s">
        <v>511</v>
      </c>
      <c r="D81" s="32" t="n">
        <f aca="false">COUNTIF(07_Term_Matrix!$E$56:$V$56,"&gt;0")</f>
        <v>4</v>
      </c>
      <c r="E81" s="52" t="n">
        <f aca="false">LN((18-D81+0.5)/(D81+0.5)+1)</f>
        <v>1.44036158239017</v>
      </c>
      <c r="F81" s="32" t="str">
        <f aca="false">IF(07_Term_Matrix!$D$56&gt;0,"► YES","")</f>
        <v/>
      </c>
    </row>
    <row r="82" customFormat="false" ht="13.5" hidden="false" customHeight="true" outlineLevel="0" collapsed="false">
      <c r="B82" s="18" t="s">
        <v>518</v>
      </c>
      <c r="C82" s="18" t="s">
        <v>519</v>
      </c>
      <c r="D82" s="32" t="n">
        <f aca="false">COUNTIF(07_Term_Matrix!$E$57:$V$57,"&gt;0")</f>
        <v>5</v>
      </c>
      <c r="E82" s="52" t="n">
        <f aca="false">LN((18-D82+0.5)/(D82+0.5)+1)</f>
        <v>1.23969088692802</v>
      </c>
      <c r="F82" s="32" t="str">
        <f aca="false">IF(07_Term_Matrix!$D$57&gt;0,"► YES","")</f>
        <v/>
      </c>
    </row>
    <row r="83" customFormat="false" ht="13.5" hidden="false" customHeight="true" outlineLevel="0" collapsed="false">
      <c r="B83" s="18" t="s">
        <v>520</v>
      </c>
      <c r="C83" s="18" t="s">
        <v>519</v>
      </c>
      <c r="D83" s="32" t="n">
        <f aca="false">COUNTIF(07_Term_Matrix!$E$58:$V$58,"&gt;0")</f>
        <v>5</v>
      </c>
      <c r="E83" s="52" t="n">
        <f aca="false">LN((18-D83+0.5)/(D83+0.5)+1)</f>
        <v>1.23969088692802</v>
      </c>
      <c r="F83" s="32" t="str">
        <f aca="false">IF(07_Term_Matrix!$D$58&gt;0,"► YES","")</f>
        <v/>
      </c>
    </row>
    <row r="84" customFormat="false" ht="13.5" hidden="false" customHeight="true" outlineLevel="0" collapsed="false">
      <c r="B84" s="18" t="s">
        <v>521</v>
      </c>
      <c r="C84" s="18" t="s">
        <v>519</v>
      </c>
      <c r="D84" s="32" t="n">
        <f aca="false">COUNTIF(07_Term_Matrix!$E$59:$V$59,"&gt;0")</f>
        <v>6</v>
      </c>
      <c r="E84" s="52" t="n">
        <f aca="false">LN((18-D84+0.5)/(D84+0.5)+1)</f>
        <v>1.07263680226485</v>
      </c>
      <c r="F84" s="32" t="str">
        <f aca="false">IF(07_Term_Matrix!$D$59&gt;0,"► YES","")</f>
        <v/>
      </c>
    </row>
    <row r="85" customFormat="false" ht="13.5" hidden="false" customHeight="true" outlineLevel="0" collapsed="false">
      <c r="B85" s="18" t="s">
        <v>522</v>
      </c>
      <c r="C85" s="18" t="s">
        <v>519</v>
      </c>
      <c r="D85" s="32" t="n">
        <f aca="false">COUNTIF(07_Term_Matrix!$E$60:$V$60,"&gt;0")</f>
        <v>4</v>
      </c>
      <c r="E85" s="52" t="n">
        <f aca="false">LN((18-D85+0.5)/(D85+0.5)+1)</f>
        <v>1.44036158239017</v>
      </c>
      <c r="F85" s="32" t="str">
        <f aca="false">IF(07_Term_Matrix!$D$60&gt;0,"► YES","")</f>
        <v/>
      </c>
    </row>
    <row r="86" customFormat="false" ht="13.5" hidden="false" customHeight="true" outlineLevel="0" collapsed="false">
      <c r="B86" s="18" t="s">
        <v>523</v>
      </c>
      <c r="C86" s="18" t="s">
        <v>524</v>
      </c>
      <c r="D86" s="32" t="n">
        <f aca="false">COUNTIF(07_Term_Matrix!$E$61:$V$61,"&gt;0")</f>
        <v>1</v>
      </c>
      <c r="E86" s="52" t="n">
        <f aca="false">LN((18-D86+0.5)/(D86+0.5)+1)</f>
        <v>2.53897387105828</v>
      </c>
      <c r="F86" s="32" t="str">
        <f aca="false">IF(07_Term_Matrix!$D$61&gt;0,"► YES","")</f>
        <v/>
      </c>
    </row>
    <row r="87" customFormat="false" ht="13.5" hidden="false" customHeight="true" outlineLevel="0" collapsed="false">
      <c r="B87" s="18" t="s">
        <v>525</v>
      </c>
      <c r="C87" s="18" t="s">
        <v>524</v>
      </c>
      <c r="D87" s="32" t="n">
        <f aca="false">COUNTIF(07_Term_Matrix!$E$62:$V$62,"&gt;0")</f>
        <v>1</v>
      </c>
      <c r="E87" s="52" t="n">
        <f aca="false">LN((18-D87+0.5)/(D87+0.5)+1)</f>
        <v>2.53897387105828</v>
      </c>
      <c r="F87" s="32" t="str">
        <f aca="false">IF(07_Term_Matrix!$D$62&gt;0,"► YES","")</f>
        <v/>
      </c>
    </row>
    <row r="88" customFormat="false" ht="13.5" hidden="false" customHeight="true" outlineLevel="0" collapsed="false">
      <c r="B88" s="18" t="s">
        <v>526</v>
      </c>
      <c r="C88" s="18" t="s">
        <v>524</v>
      </c>
      <c r="D88" s="32" t="n">
        <f aca="false">COUNTIF(07_Term_Matrix!$E$63:$V$63,"&gt;0")</f>
        <v>1</v>
      </c>
      <c r="E88" s="52" t="n">
        <f aca="false">LN((18-D88+0.5)/(D88+0.5)+1)</f>
        <v>2.53897387105828</v>
      </c>
      <c r="F88" s="32" t="str">
        <f aca="false">IF(07_Term_Matrix!$D$63&gt;0,"► YES","")</f>
        <v/>
      </c>
    </row>
    <row r="89" customFormat="false" ht="13.5" hidden="false" customHeight="true" outlineLevel="0" collapsed="false">
      <c r="B89" s="18" t="s">
        <v>527</v>
      </c>
      <c r="C89" s="18" t="s">
        <v>524</v>
      </c>
      <c r="D89" s="32" t="n">
        <f aca="false">COUNTIF(07_Term_Matrix!$E$64:$V$64,"&gt;0")</f>
        <v>1</v>
      </c>
      <c r="E89" s="52" t="n">
        <f aca="false">LN((18-D89+0.5)/(D89+0.5)+1)</f>
        <v>2.53897387105828</v>
      </c>
      <c r="F89" s="32" t="str">
        <f aca="false">IF(07_Term_Matrix!$D$64&gt;0,"► YES","")</f>
        <v/>
      </c>
    </row>
    <row r="90" customFormat="false" ht="6.75" hidden="false" customHeight="true" outlineLevel="0" collapsed="false"/>
    <row r="91" customFormat="false" ht="21.75" hidden="false" customHeight="true" outlineLevel="0" collapsed="false">
      <c r="B91" s="3" t="s">
        <v>811</v>
      </c>
      <c r="C91" s="3"/>
      <c r="D91" s="3"/>
      <c r="E91" s="3"/>
      <c r="F91" s="3"/>
      <c r="G91" s="3"/>
      <c r="H91" s="3"/>
      <c r="I91" s="3"/>
    </row>
    <row r="92" customFormat="false" ht="30" hidden="false" customHeight="true" outlineLevel="0" collapsed="false">
      <c r="B92" s="4" t="s">
        <v>812</v>
      </c>
      <c r="C92" s="4"/>
      <c r="D92" s="4"/>
      <c r="E92" s="4"/>
      <c r="F92" s="4"/>
      <c r="G92" s="4"/>
      <c r="H92" s="4"/>
      <c r="I92" s="4"/>
    </row>
    <row r="93" customFormat="false" ht="30" hidden="false" customHeight="true" outlineLevel="0" collapsed="false">
      <c r="B93" s="11" t="s">
        <v>32</v>
      </c>
      <c r="C93" s="11" t="s">
        <v>813</v>
      </c>
      <c r="D93" s="11" t="s">
        <v>814</v>
      </c>
    </row>
    <row r="94" customFormat="false" ht="51.75" hidden="false" customHeight="true" outlineLevel="0" collapsed="false">
      <c r="B94" s="26" t="s">
        <v>815</v>
      </c>
      <c r="C94" s="13" t="s">
        <v>816</v>
      </c>
      <c r="D94" s="13" t="s">
        <v>817</v>
      </c>
    </row>
    <row r="95" customFormat="false" ht="51.75" hidden="false" customHeight="true" outlineLevel="0" collapsed="false">
      <c r="B95" s="26" t="s">
        <v>818</v>
      </c>
      <c r="C95" s="13" t="s">
        <v>819</v>
      </c>
      <c r="D95" s="13" t="s">
        <v>820</v>
      </c>
    </row>
    <row r="96" customFormat="false" ht="51.75" hidden="false" customHeight="true" outlineLevel="0" collapsed="false">
      <c r="B96" s="26" t="s">
        <v>821</v>
      </c>
      <c r="C96" s="13" t="s">
        <v>822</v>
      </c>
      <c r="D96" s="13" t="s">
        <v>823</v>
      </c>
    </row>
    <row r="97" customFormat="false" ht="6.75" hidden="false" customHeight="true" outlineLevel="0" collapsed="false"/>
    <row r="98" customFormat="false" ht="57.75" hidden="false" customHeight="true" outlineLevel="0" collapsed="false">
      <c r="B98" s="29" t="s">
        <v>824</v>
      </c>
      <c r="C98" s="29"/>
      <c r="D98" s="29"/>
      <c r="E98" s="29"/>
      <c r="F98" s="29"/>
      <c r="G98" s="29"/>
      <c r="H98" s="29"/>
      <c r="I98" s="29"/>
    </row>
    <row r="99" customFormat="false" ht="57.75" hidden="false" customHeight="true" outlineLevel="0" collapsed="false">
      <c r="B99" s="10" t="s">
        <v>825</v>
      </c>
      <c r="C99" s="10"/>
      <c r="D99" s="10"/>
      <c r="E99" s="10"/>
      <c r="F99" s="10"/>
      <c r="G99" s="10"/>
      <c r="H99" s="10"/>
      <c r="I99" s="10"/>
    </row>
    <row r="100" customFormat="false" ht="45" hidden="false" customHeight="true" outlineLevel="0" collapsed="false">
      <c r="B100" s="34" t="s">
        <v>826</v>
      </c>
      <c r="C100" s="34"/>
      <c r="D100" s="34"/>
      <c r="E100" s="34"/>
      <c r="F100" s="34"/>
      <c r="G100" s="34"/>
      <c r="H100" s="34"/>
      <c r="I100" s="34"/>
    </row>
  </sheetData>
  <mergeCells count="11">
    <mergeCell ref="B2:I2"/>
    <mergeCell ref="B3:I3"/>
    <mergeCell ref="B5:I5"/>
    <mergeCell ref="B7:I7"/>
    <mergeCell ref="B30:I30"/>
    <mergeCell ref="B31:I31"/>
    <mergeCell ref="B91:I91"/>
    <mergeCell ref="B92:I92"/>
    <mergeCell ref="B98:I98"/>
    <mergeCell ref="B99:I99"/>
    <mergeCell ref="B100:I10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K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9"/>
    <col collapsed="false" customWidth="true" hidden="false" outlineLevel="0" max="5" min="4" style="0" width="10"/>
    <col collapsed="false" customWidth="true" hidden="false" outlineLevel="0" max="7" min="6" style="0" width="11"/>
    <col collapsed="false" customWidth="true" hidden="false" outlineLevel="0" max="8" min="8" style="0" width="12"/>
    <col collapsed="false" customWidth="true" hidden="false" outlineLevel="0" max="9" min="9" style="0" width="10"/>
    <col collapsed="false" customWidth="true" hidden="false" outlineLevel="0" max="10" min="10" style="0" width="13"/>
    <col collapsed="false" customWidth="true" hidden="false" outlineLevel="0" max="11" min="11" style="0" width="46"/>
  </cols>
  <sheetData>
    <row r="2" customFormat="false" ht="30" hidden="false" customHeight="true" outlineLevel="0" collapsed="false">
      <c r="B2" s="1" t="s">
        <v>827</v>
      </c>
      <c r="C2" s="1"/>
      <c r="D2" s="1"/>
      <c r="E2" s="1"/>
      <c r="F2" s="1"/>
      <c r="G2" s="1"/>
      <c r="H2" s="1"/>
      <c r="I2" s="1"/>
      <c r="J2" s="1"/>
      <c r="K2" s="1"/>
    </row>
    <row r="3" customFormat="false" ht="19.5" hidden="false" customHeight="true" outlineLevel="0" collapsed="false">
      <c r="B3" s="2" t="s">
        <v>828</v>
      </c>
      <c r="C3" s="2"/>
      <c r="D3" s="2"/>
      <c r="E3" s="2"/>
      <c r="F3" s="2"/>
      <c r="G3" s="2"/>
      <c r="H3" s="2"/>
      <c r="I3" s="2"/>
      <c r="J3" s="2"/>
      <c r="K3" s="2"/>
    </row>
    <row r="4" customFormat="false" ht="6.75" hidden="false" customHeight="true" outlineLevel="0" collapsed="false"/>
    <row r="5" customFormat="false" ht="55.5" hidden="false" customHeight="true" outlineLevel="0" collapsed="false">
      <c r="B5" s="4" t="s">
        <v>829</v>
      </c>
      <c r="C5" s="4"/>
      <c r="D5" s="4"/>
      <c r="E5" s="4"/>
      <c r="F5" s="4"/>
      <c r="G5" s="4"/>
      <c r="H5" s="4"/>
      <c r="I5" s="4"/>
      <c r="J5" s="4"/>
      <c r="K5" s="4"/>
    </row>
    <row r="6" customFormat="false" ht="45" hidden="false" customHeight="true" outlineLevel="0" collapsed="false">
      <c r="B6" s="10" t="s">
        <v>830</v>
      </c>
      <c r="C6" s="10"/>
      <c r="D6" s="10"/>
      <c r="E6" s="10"/>
      <c r="F6" s="10"/>
      <c r="G6" s="10"/>
      <c r="H6" s="10"/>
      <c r="I6" s="10"/>
      <c r="J6" s="10"/>
      <c r="K6" s="10"/>
    </row>
    <row r="7" customFormat="false" ht="6.75" hidden="false" customHeight="true" outlineLevel="0" collapsed="false"/>
    <row r="8" customFormat="false" ht="21.75" hidden="false" customHeight="true" outlineLevel="0" collapsed="false">
      <c r="B8" s="3" t="s">
        <v>831</v>
      </c>
      <c r="C8" s="3"/>
      <c r="D8" s="3"/>
      <c r="E8" s="3"/>
      <c r="F8" s="3"/>
      <c r="G8" s="3"/>
      <c r="H8" s="3"/>
      <c r="I8" s="3"/>
      <c r="J8" s="3"/>
      <c r="K8" s="3"/>
    </row>
    <row r="9" customFormat="false" ht="30" hidden="false" customHeight="true" outlineLevel="0" collapsed="false">
      <c r="B9" s="11" t="s">
        <v>186</v>
      </c>
      <c r="C9" s="11" t="s">
        <v>250</v>
      </c>
      <c r="D9" s="11" t="s">
        <v>832</v>
      </c>
      <c r="E9" s="11" t="s">
        <v>802</v>
      </c>
      <c r="F9" s="11" t="s">
        <v>800</v>
      </c>
      <c r="G9" s="11" t="s">
        <v>801</v>
      </c>
      <c r="H9" s="11" t="s">
        <v>833</v>
      </c>
      <c r="I9" s="11" t="s">
        <v>834</v>
      </c>
      <c r="J9" s="11" t="s">
        <v>721</v>
      </c>
      <c r="K9" s="11" t="s">
        <v>722</v>
      </c>
    </row>
    <row r="10" customFormat="false" ht="30" hidden="false" customHeight="true" outlineLevel="0" collapsed="false">
      <c r="B10" s="26" t="s">
        <v>424</v>
      </c>
      <c r="C10" s="18" t="s">
        <v>256</v>
      </c>
      <c r="D10" s="52" t="n">
        <f aca="false">12_Similarity_Search!$D$9</f>
        <v>0</v>
      </c>
      <c r="E10" s="32" t="n">
        <f aca="false">12_Similarity_Search!$F$9</f>
        <v>14</v>
      </c>
      <c r="F10" s="52" t="n">
        <f aca="false">14_BM25!$E$9</f>
        <v>0</v>
      </c>
      <c r="G10" s="32" t="n">
        <f aca="false">14_BM25!$F$9</f>
        <v>7</v>
      </c>
      <c r="H10" s="66" t="n">
        <f aca="false">1/(00_START_HERE!$C$12+E10)+1/(00_START_HERE!$C$12+G10)</f>
        <v>0.0284388866478419</v>
      </c>
      <c r="I10" s="32" t="n">
        <f aca="false">RANK(H10,$H$10:$H$27)</f>
        <v>14</v>
      </c>
      <c r="J10" s="32" t="str">
        <f aca="false">IF(I10&lt;=00_START_HERE!$C$9,"► RETRIEVED","")</f>
        <v/>
      </c>
      <c r="K10" s="13" t="s">
        <v>426</v>
      </c>
    </row>
    <row r="11" customFormat="false" ht="30" hidden="false" customHeight="true" outlineLevel="0" collapsed="false">
      <c r="B11" s="26" t="s">
        <v>427</v>
      </c>
      <c r="C11" s="18" t="s">
        <v>256</v>
      </c>
      <c r="D11" s="52" t="n">
        <f aca="false">12_Similarity_Search!$D$10</f>
        <v>0</v>
      </c>
      <c r="E11" s="32" t="n">
        <f aca="false">12_Similarity_Search!$F$10</f>
        <v>14</v>
      </c>
      <c r="F11" s="52" t="n">
        <f aca="false">14_BM25!$E$10</f>
        <v>0</v>
      </c>
      <c r="G11" s="32" t="n">
        <f aca="false">14_BM25!$F$10</f>
        <v>7</v>
      </c>
      <c r="H11" s="66" t="n">
        <f aca="false">1/(00_START_HERE!$C$12+E11)+1/(00_START_HERE!$C$12+G11)</f>
        <v>0.0284388866478419</v>
      </c>
      <c r="I11" s="32" t="n">
        <f aca="false">RANK(H11,$H$10:$H$27)</f>
        <v>14</v>
      </c>
      <c r="J11" s="32" t="str">
        <f aca="false">IF(I11&lt;=00_START_HERE!$C$9,"► RETRIEVED","")</f>
        <v/>
      </c>
      <c r="K11" s="13" t="s">
        <v>429</v>
      </c>
    </row>
    <row r="12" customFormat="false" ht="30" hidden="false" customHeight="true" outlineLevel="0" collapsed="false">
      <c r="B12" s="26" t="s">
        <v>430</v>
      </c>
      <c r="C12" s="18" t="s">
        <v>261</v>
      </c>
      <c r="D12" s="52" t="n">
        <f aca="false">12_Similarity_Search!$D$11</f>
        <v>0.0816496580927726</v>
      </c>
      <c r="E12" s="32" t="n">
        <f aca="false">12_Similarity_Search!$F$11</f>
        <v>12</v>
      </c>
      <c r="F12" s="52" t="n">
        <f aca="false">14_BM25!$E$11</f>
        <v>0</v>
      </c>
      <c r="G12" s="32" t="n">
        <f aca="false">14_BM25!$F$11</f>
        <v>7</v>
      </c>
      <c r="H12" s="66" t="n">
        <f aca="false">1/(00_START_HERE!$C$12+E12)+1/(00_START_HERE!$C$12+G12)</f>
        <v>0.0288142620232172</v>
      </c>
      <c r="I12" s="32" t="n">
        <f aca="false">RANK(H12,$H$10:$H$27)</f>
        <v>12</v>
      </c>
      <c r="J12" s="32" t="str">
        <f aca="false">IF(I12&lt;=00_START_HERE!$C$9,"► RETRIEVED","")</f>
        <v/>
      </c>
      <c r="K12" s="13" t="s">
        <v>264</v>
      </c>
    </row>
    <row r="13" customFormat="false" ht="30" hidden="false" customHeight="true" outlineLevel="0" collapsed="false">
      <c r="B13" s="26" t="s">
        <v>432</v>
      </c>
      <c r="C13" s="18" t="s">
        <v>265</v>
      </c>
      <c r="D13" s="52" t="n">
        <f aca="false">12_Similarity_Search!$D$12</f>
        <v>0.0487950036474267</v>
      </c>
      <c r="E13" s="32" t="n">
        <f aca="false">12_Similarity_Search!$F$12</f>
        <v>13</v>
      </c>
      <c r="F13" s="52" t="n">
        <f aca="false">14_BM25!$E$12</f>
        <v>0</v>
      </c>
      <c r="G13" s="32" t="n">
        <f aca="false">14_BM25!$F$12</f>
        <v>7</v>
      </c>
      <c r="H13" s="66" t="n">
        <f aca="false">1/(00_START_HERE!$C$12+E13)+1/(00_START_HERE!$C$12+G13)</f>
        <v>0.0286240032713147</v>
      </c>
      <c r="I13" s="32" t="n">
        <f aca="false">RANK(H13,$H$10:$H$27)</f>
        <v>13</v>
      </c>
      <c r="J13" s="32" t="str">
        <f aca="false">IF(I13&lt;=00_START_HERE!$C$9,"► RETRIEVED","")</f>
        <v/>
      </c>
      <c r="K13" s="13" t="s">
        <v>268</v>
      </c>
    </row>
    <row r="14" customFormat="false" ht="30" hidden="false" customHeight="true" outlineLevel="0" collapsed="false">
      <c r="B14" s="26" t="s">
        <v>433</v>
      </c>
      <c r="C14" s="18" t="s">
        <v>269</v>
      </c>
      <c r="D14" s="52" t="n">
        <f aca="false">12_Similarity_Search!$D$13</f>
        <v>0.235702260395516</v>
      </c>
      <c r="E14" s="32" t="n">
        <f aca="false">12_Similarity_Search!$F$13</f>
        <v>9</v>
      </c>
      <c r="F14" s="52" t="n">
        <f aca="false">14_BM25!$E$13</f>
        <v>0</v>
      </c>
      <c r="G14" s="32" t="n">
        <f aca="false">14_BM25!$F$13</f>
        <v>7</v>
      </c>
      <c r="H14" s="66" t="n">
        <f aca="false">1/(00_START_HERE!$C$12+E14)+1/(00_START_HERE!$C$12+G14)</f>
        <v>0.0294181267575168</v>
      </c>
      <c r="I14" s="32" t="n">
        <f aca="false">RANK(H14,$H$10:$H$27)</f>
        <v>9</v>
      </c>
      <c r="J14" s="32" t="str">
        <f aca="false">IF(I14&lt;=00_START_HERE!$C$9,"► RETRIEVED","")</f>
        <v/>
      </c>
      <c r="K14" s="13" t="s">
        <v>272</v>
      </c>
    </row>
    <row r="15" customFormat="false" ht="30" hidden="false" customHeight="true" outlineLevel="0" collapsed="false">
      <c r="B15" s="26" t="s">
        <v>434</v>
      </c>
      <c r="C15" s="18" t="s">
        <v>273</v>
      </c>
      <c r="D15" s="52" t="n">
        <f aca="false">12_Similarity_Search!$D$14</f>
        <v>0.402693633128415</v>
      </c>
      <c r="E15" s="32" t="n">
        <f aca="false">12_Similarity_Search!$F$14</f>
        <v>5</v>
      </c>
      <c r="F15" s="52" t="n">
        <f aca="false">14_BM25!$E$14</f>
        <v>0</v>
      </c>
      <c r="G15" s="32" t="n">
        <f aca="false">14_BM25!$F$14</f>
        <v>7</v>
      </c>
      <c r="H15" s="66" t="n">
        <f aca="false">1/(00_START_HERE!$C$12+E15)+1/(00_START_HERE!$C$12+G15)</f>
        <v>0.0303099885189437</v>
      </c>
      <c r="I15" s="32" t="n">
        <f aca="false">RANK(H15,$H$10:$H$27)</f>
        <v>6</v>
      </c>
      <c r="J15" s="32" t="str">
        <f aca="false">IF(I15&lt;=00_START_HERE!$C$9,"► RETRIEVED","")</f>
        <v/>
      </c>
      <c r="K15" s="13" t="s">
        <v>276</v>
      </c>
    </row>
    <row r="16" customFormat="false" ht="30" hidden="false" customHeight="true" outlineLevel="0" collapsed="false">
      <c r="B16" s="27" t="s">
        <v>435</v>
      </c>
      <c r="C16" s="18" t="s">
        <v>277</v>
      </c>
      <c r="D16" s="52" t="n">
        <f aca="false">12_Similarity_Search!$D$15</f>
        <v>0.389249472080762</v>
      </c>
      <c r="E16" s="32" t="n">
        <f aca="false">12_Similarity_Search!$F$15</f>
        <v>6</v>
      </c>
      <c r="F16" s="52" t="n">
        <f aca="false">14_BM25!$E$15</f>
        <v>2.82873308174977</v>
      </c>
      <c r="G16" s="32" t="n">
        <f aca="false">14_BM25!$F$15</f>
        <v>4</v>
      </c>
      <c r="H16" s="66" t="n">
        <f aca="false">1/(00_START_HERE!$C$12+E16)+1/(00_START_HERE!$C$12+G16)</f>
        <v>0.0307765151515152</v>
      </c>
      <c r="I16" s="32" t="n">
        <f aca="false">RANK(H16,$H$10:$H$27)</f>
        <v>4</v>
      </c>
      <c r="J16" s="32" t="str">
        <f aca="false">IF(I16&lt;=00_START_HERE!$C$9,"► RETRIEVED","")</f>
        <v/>
      </c>
      <c r="K16" s="13" t="s">
        <v>436</v>
      </c>
    </row>
    <row r="17" customFormat="false" ht="30" hidden="false" customHeight="true" outlineLevel="0" collapsed="false">
      <c r="B17" s="27" t="s">
        <v>437</v>
      </c>
      <c r="C17" s="18" t="s">
        <v>277</v>
      </c>
      <c r="D17" s="52" t="n">
        <f aca="false">12_Similarity_Search!$D$16</f>
        <v>0.774138734428038</v>
      </c>
      <c r="E17" s="32" t="n">
        <f aca="false">12_Similarity_Search!$F$16</f>
        <v>2</v>
      </c>
      <c r="F17" s="52" t="n">
        <f aca="false">14_BM25!$E$16</f>
        <v>6.53362887331244</v>
      </c>
      <c r="G17" s="32" t="n">
        <f aca="false">14_BM25!$F$16</f>
        <v>1</v>
      </c>
      <c r="H17" s="66" t="n">
        <f aca="false">1/(00_START_HERE!$C$12+E17)+1/(00_START_HERE!$C$12+G17)</f>
        <v>0.0325224748810153</v>
      </c>
      <c r="I17" s="32" t="n">
        <f aca="false">RANK(H17,$H$10:$H$27)</f>
        <v>1</v>
      </c>
      <c r="J17" s="32" t="str">
        <f aca="false">IF(I17&lt;=00_START_HERE!$C$9,"► RETRIEVED","")</f>
        <v>► RETRIEVED</v>
      </c>
      <c r="K17" s="13" t="s">
        <v>438</v>
      </c>
    </row>
    <row r="18" customFormat="false" ht="30" hidden="false" customHeight="true" outlineLevel="0" collapsed="false">
      <c r="B18" s="26" t="s">
        <v>439</v>
      </c>
      <c r="C18" s="18" t="s">
        <v>281</v>
      </c>
      <c r="D18" s="52" t="n">
        <f aca="false">12_Similarity_Search!$D$17</f>
        <v>0.640512615220349</v>
      </c>
      <c r="E18" s="32" t="n">
        <f aca="false">12_Similarity_Search!$F$17</f>
        <v>4</v>
      </c>
      <c r="F18" s="52" t="n">
        <f aca="false">14_BM25!$E$17</f>
        <v>1.42823505831017</v>
      </c>
      <c r="G18" s="32" t="n">
        <f aca="false">14_BM25!$F$17</f>
        <v>6</v>
      </c>
      <c r="H18" s="66" t="n">
        <f aca="false">1/(00_START_HERE!$C$12+E18)+1/(00_START_HERE!$C$12+G18)</f>
        <v>0.0307765151515152</v>
      </c>
      <c r="I18" s="32" t="n">
        <f aca="false">RANK(H18,$H$10:$H$27)</f>
        <v>4</v>
      </c>
      <c r="J18" s="32" t="str">
        <f aca="false">IF(I18&lt;=00_START_HERE!$C$9,"► RETRIEVED","")</f>
        <v/>
      </c>
      <c r="K18" s="13" t="s">
        <v>284</v>
      </c>
    </row>
    <row r="19" customFormat="false" ht="30" hidden="false" customHeight="true" outlineLevel="0" collapsed="false">
      <c r="B19" s="33" t="s">
        <v>440</v>
      </c>
      <c r="C19" s="18" t="s">
        <v>285</v>
      </c>
      <c r="D19" s="52" t="n">
        <f aca="false">12_Similarity_Search!$D$18</f>
        <v>0.825722823844771</v>
      </c>
      <c r="E19" s="32" t="n">
        <f aca="false">12_Similarity_Search!$F$18</f>
        <v>1</v>
      </c>
      <c r="F19" s="52" t="n">
        <f aca="false">14_BM25!$E$18</f>
        <v>4.97145009232499</v>
      </c>
      <c r="G19" s="32" t="n">
        <f aca="false">14_BM25!$F$18</f>
        <v>2</v>
      </c>
      <c r="H19" s="66" t="n">
        <f aca="false">1/(00_START_HERE!$C$12+E19)+1/(00_START_HERE!$C$12+G19)</f>
        <v>0.0325224748810153</v>
      </c>
      <c r="I19" s="32" t="n">
        <f aca="false">RANK(H19,$H$10:$H$27)</f>
        <v>1</v>
      </c>
      <c r="J19" s="32" t="str">
        <f aca="false">IF(I19&lt;=00_START_HERE!$C$9,"► RETRIEVED","")</f>
        <v>► RETRIEVED</v>
      </c>
      <c r="K19" s="13" t="s">
        <v>441</v>
      </c>
    </row>
    <row r="20" customFormat="false" ht="30" hidden="false" customHeight="true" outlineLevel="0" collapsed="false">
      <c r="B20" s="33" t="s">
        <v>442</v>
      </c>
      <c r="C20" s="18" t="s">
        <v>285</v>
      </c>
      <c r="D20" s="52" t="n">
        <f aca="false">12_Similarity_Search!$D$19</f>
        <v>0.770674635588452</v>
      </c>
      <c r="E20" s="32" t="n">
        <f aca="false">12_Similarity_Search!$F$19</f>
        <v>3</v>
      </c>
      <c r="F20" s="52" t="n">
        <f aca="false">14_BM25!$E$19</f>
        <v>4.44620558257065</v>
      </c>
      <c r="G20" s="32" t="n">
        <f aca="false">14_BM25!$F$19</f>
        <v>3</v>
      </c>
      <c r="H20" s="66" t="n">
        <f aca="false">1/(00_START_HERE!$C$12+E20)+1/(00_START_HERE!$C$12+G20)</f>
        <v>0.0317460317460317</v>
      </c>
      <c r="I20" s="32" t="n">
        <f aca="false">RANK(H20,$H$10:$H$27)</f>
        <v>3</v>
      </c>
      <c r="J20" s="32" t="str">
        <f aca="false">IF(I20&lt;=00_START_HERE!$C$9,"► RETRIEVED","")</f>
        <v>► RETRIEVED</v>
      </c>
      <c r="K20" s="13" t="s">
        <v>443</v>
      </c>
    </row>
    <row r="21" customFormat="false" ht="30" hidden="false" customHeight="true" outlineLevel="0" collapsed="false">
      <c r="B21" s="26" t="s">
        <v>444</v>
      </c>
      <c r="C21" s="18" t="s">
        <v>289</v>
      </c>
      <c r="D21" s="52" t="n">
        <f aca="false">12_Similarity_Search!$D$20</f>
        <v>0.333333333333333</v>
      </c>
      <c r="E21" s="32" t="n">
        <f aca="false">12_Similarity_Search!$F$20</f>
        <v>8</v>
      </c>
      <c r="F21" s="52" t="n">
        <f aca="false">14_BM25!$E$20</f>
        <v>0</v>
      </c>
      <c r="G21" s="32" t="n">
        <f aca="false">14_BM25!$F$20</f>
        <v>7</v>
      </c>
      <c r="H21" s="66" t="n">
        <f aca="false">1/(00_START_HERE!$C$12+E21)+1/(00_START_HERE!$C$12+G21)</f>
        <v>0.0296312554872695</v>
      </c>
      <c r="I21" s="32" t="n">
        <f aca="false">RANK(H21,$H$10:$H$27)</f>
        <v>8</v>
      </c>
      <c r="J21" s="32" t="str">
        <f aca="false">IF(I21&lt;=00_START_HERE!$C$9,"► RETRIEVED","")</f>
        <v/>
      </c>
      <c r="K21" s="13" t="s">
        <v>293</v>
      </c>
    </row>
    <row r="22" customFormat="false" ht="30" hidden="false" customHeight="true" outlineLevel="0" collapsed="false">
      <c r="B22" s="26" t="s">
        <v>445</v>
      </c>
      <c r="C22" s="18" t="s">
        <v>294</v>
      </c>
      <c r="D22" s="52" t="n">
        <f aca="false">12_Similarity_Search!$D$21</f>
        <v>0.210818510677892</v>
      </c>
      <c r="E22" s="32" t="n">
        <f aca="false">12_Similarity_Search!$F$21</f>
        <v>10</v>
      </c>
      <c r="F22" s="52" t="n">
        <f aca="false">14_BM25!$E$21</f>
        <v>0</v>
      </c>
      <c r="G22" s="32" t="n">
        <f aca="false">14_BM25!$F$21</f>
        <v>7</v>
      </c>
      <c r="H22" s="66" t="n">
        <f aca="false">1/(00_START_HERE!$C$12+E22)+1/(00_START_HERE!$C$12+G22)</f>
        <v>0.0292110874200426</v>
      </c>
      <c r="I22" s="32" t="n">
        <f aca="false">RANK(H22,$H$10:$H$27)</f>
        <v>10</v>
      </c>
      <c r="J22" s="32" t="str">
        <f aca="false">IF(I22&lt;=00_START_HERE!$C$9,"► RETRIEVED","")</f>
        <v/>
      </c>
      <c r="K22" s="13" t="s">
        <v>296</v>
      </c>
    </row>
    <row r="23" customFormat="false" ht="30" hidden="false" customHeight="true" outlineLevel="0" collapsed="false">
      <c r="B23" s="26" t="s">
        <v>446</v>
      </c>
      <c r="C23" s="18" t="s">
        <v>297</v>
      </c>
      <c r="D23" s="52" t="n">
        <f aca="false">12_Similarity_Search!$D$22</f>
        <v>0</v>
      </c>
      <c r="E23" s="32" t="n">
        <f aca="false">12_Similarity_Search!$F$22</f>
        <v>14</v>
      </c>
      <c r="F23" s="52" t="n">
        <f aca="false">14_BM25!$E$22</f>
        <v>0</v>
      </c>
      <c r="G23" s="32" t="n">
        <f aca="false">14_BM25!$F$22</f>
        <v>7</v>
      </c>
      <c r="H23" s="66" t="n">
        <f aca="false">1/(00_START_HERE!$C$12+E23)+1/(00_START_HERE!$C$12+G23)</f>
        <v>0.0284388866478419</v>
      </c>
      <c r="I23" s="32" t="n">
        <f aca="false">RANK(H23,$H$10:$H$27)</f>
        <v>14</v>
      </c>
      <c r="J23" s="32" t="str">
        <f aca="false">IF(I23&lt;=00_START_HERE!$C$9,"► RETRIEVED","")</f>
        <v/>
      </c>
      <c r="K23" s="13" t="s">
        <v>300</v>
      </c>
    </row>
    <row r="24" customFormat="false" ht="30" hidden="false" customHeight="true" outlineLevel="0" collapsed="false">
      <c r="B24" s="26" t="s">
        <v>447</v>
      </c>
      <c r="C24" s="18" t="s">
        <v>301</v>
      </c>
      <c r="D24" s="52" t="n">
        <f aca="false">12_Similarity_Search!$D$23</f>
        <v>0</v>
      </c>
      <c r="E24" s="32" t="n">
        <f aca="false">12_Similarity_Search!$F$23</f>
        <v>14</v>
      </c>
      <c r="F24" s="52" t="n">
        <f aca="false">14_BM25!$E$23</f>
        <v>0</v>
      </c>
      <c r="G24" s="32" t="n">
        <f aca="false">14_BM25!$F$23</f>
        <v>7</v>
      </c>
      <c r="H24" s="66" t="n">
        <f aca="false">1/(00_START_HERE!$C$12+E24)+1/(00_START_HERE!$C$12+G24)</f>
        <v>0.0284388866478419</v>
      </c>
      <c r="I24" s="32" t="n">
        <f aca="false">RANK(H24,$H$10:$H$27)</f>
        <v>14</v>
      </c>
      <c r="J24" s="32" t="str">
        <f aca="false">IF(I24&lt;=00_START_HERE!$C$9,"► RETRIEVED","")</f>
        <v/>
      </c>
      <c r="K24" s="13" t="s">
        <v>304</v>
      </c>
    </row>
    <row r="25" customFormat="false" ht="30" hidden="false" customHeight="true" outlineLevel="0" collapsed="false">
      <c r="B25" s="26" t="s">
        <v>448</v>
      </c>
      <c r="C25" s="18" t="s">
        <v>305</v>
      </c>
      <c r="D25" s="52" t="n">
        <f aca="false">12_Similarity_Search!$D$24</f>
        <v>0.361157559257308</v>
      </c>
      <c r="E25" s="32" t="n">
        <f aca="false">12_Similarity_Search!$F$24</f>
        <v>7</v>
      </c>
      <c r="F25" s="52" t="n">
        <f aca="false">14_BM25!$E$24</f>
        <v>1.76667642493728</v>
      </c>
      <c r="G25" s="32" t="n">
        <f aca="false">14_BM25!$F$24</f>
        <v>5</v>
      </c>
      <c r="H25" s="66" t="n">
        <f aca="false">1/(00_START_HERE!$C$12+E25)+1/(00_START_HERE!$C$12+G25)</f>
        <v>0.0303099885189437</v>
      </c>
      <c r="I25" s="32" t="n">
        <f aca="false">RANK(H25,$H$10:$H$27)</f>
        <v>6</v>
      </c>
      <c r="J25" s="32" t="str">
        <f aca="false">IF(I25&lt;=00_START_HERE!$C$9,"► RETRIEVED","")</f>
        <v/>
      </c>
      <c r="K25" s="13" t="s">
        <v>449</v>
      </c>
    </row>
    <row r="26" customFormat="false" ht="30" hidden="false" customHeight="true" outlineLevel="0" collapsed="false">
      <c r="B26" s="26" t="s">
        <v>450</v>
      </c>
      <c r="C26" s="18" t="s">
        <v>305</v>
      </c>
      <c r="D26" s="52" t="n">
        <f aca="false">12_Similarity_Search!$D$25</f>
        <v>0.163299316185545</v>
      </c>
      <c r="E26" s="32" t="n">
        <f aca="false">12_Similarity_Search!$F$25</f>
        <v>11</v>
      </c>
      <c r="F26" s="52" t="n">
        <f aca="false">14_BM25!$E$25</f>
        <v>0</v>
      </c>
      <c r="G26" s="32" t="n">
        <f aca="false">14_BM25!$F$25</f>
        <v>7</v>
      </c>
      <c r="H26" s="66" t="n">
        <f aca="false">1/(00_START_HERE!$C$12+E26)+1/(00_START_HERE!$C$12+G26)</f>
        <v>0.0290098801765819</v>
      </c>
      <c r="I26" s="32" t="n">
        <f aca="false">RANK(H26,$H$10:$H$27)</f>
        <v>11</v>
      </c>
      <c r="J26" s="32" t="str">
        <f aca="false">IF(I26&lt;=00_START_HERE!$C$9,"► RETRIEVED","")</f>
        <v/>
      </c>
      <c r="K26" s="13" t="s">
        <v>451</v>
      </c>
    </row>
    <row r="27" customFormat="false" ht="30" hidden="false" customHeight="true" outlineLevel="0" collapsed="false">
      <c r="B27" s="26" t="s">
        <v>452</v>
      </c>
      <c r="C27" s="18" t="s">
        <v>309</v>
      </c>
      <c r="D27" s="52" t="n">
        <f aca="false">12_Similarity_Search!$D$26</f>
        <v>0</v>
      </c>
      <c r="E27" s="32" t="n">
        <f aca="false">12_Similarity_Search!$F$26</f>
        <v>14</v>
      </c>
      <c r="F27" s="52" t="n">
        <f aca="false">14_BM25!$E$26</f>
        <v>0</v>
      </c>
      <c r="G27" s="32" t="n">
        <f aca="false">14_BM25!$F$26</f>
        <v>7</v>
      </c>
      <c r="H27" s="66" t="n">
        <f aca="false">1/(00_START_HERE!$C$12+E27)+1/(00_START_HERE!$C$12+G27)</f>
        <v>0.0284388866478419</v>
      </c>
      <c r="I27" s="32" t="n">
        <f aca="false">RANK(H27,$H$10:$H$27)</f>
        <v>14</v>
      </c>
      <c r="J27" s="32" t="str">
        <f aca="false">IF(I27&lt;=00_START_HERE!$C$9,"► RETRIEVED","")</f>
        <v/>
      </c>
      <c r="K27" s="13" t="s">
        <v>311</v>
      </c>
    </row>
    <row r="28" customFormat="false" ht="6.75" hidden="false" customHeight="true" outlineLevel="0" collapsed="false"/>
    <row r="29" customFormat="false" ht="21.75" hidden="false" customHeight="true" outlineLevel="0" collapsed="false">
      <c r="B29" s="3" t="s">
        <v>835</v>
      </c>
      <c r="C29" s="3"/>
      <c r="D29" s="3"/>
      <c r="E29" s="3"/>
      <c r="F29" s="3"/>
      <c r="G29" s="3"/>
      <c r="H29" s="3"/>
      <c r="I29" s="3"/>
      <c r="J29" s="3"/>
      <c r="K29" s="3"/>
    </row>
    <row r="30" customFormat="false" ht="30" hidden="false" customHeight="true" outlineLevel="0" collapsed="false">
      <c r="B30" s="11" t="s">
        <v>836</v>
      </c>
      <c r="C30" s="11" t="s">
        <v>837</v>
      </c>
    </row>
    <row r="31" customFormat="false" ht="48" hidden="false" customHeight="true" outlineLevel="0" collapsed="false">
      <c r="B31" s="26" t="s">
        <v>838</v>
      </c>
      <c r="C31" s="13" t="s">
        <v>839</v>
      </c>
    </row>
    <row r="32" customFormat="false" ht="48" hidden="false" customHeight="true" outlineLevel="0" collapsed="false">
      <c r="B32" s="26" t="s">
        <v>840</v>
      </c>
      <c r="C32" s="13" t="s">
        <v>841</v>
      </c>
    </row>
    <row r="33" customFormat="false" ht="48" hidden="false" customHeight="true" outlineLevel="0" collapsed="false">
      <c r="B33" s="26" t="s">
        <v>842</v>
      </c>
      <c r="C33" s="13" t="s">
        <v>843</v>
      </c>
    </row>
    <row r="34" customFormat="false" ht="48" hidden="false" customHeight="true" outlineLevel="0" collapsed="false">
      <c r="B34" s="26" t="s">
        <v>844</v>
      </c>
      <c r="C34" s="13" t="s">
        <v>845</v>
      </c>
    </row>
    <row r="35" customFormat="false" ht="6.75" hidden="false" customHeight="true" outlineLevel="0" collapsed="false"/>
    <row r="36" customFormat="false" ht="57.75" hidden="false" customHeight="true" outlineLevel="0" collapsed="false">
      <c r="B36" s="29" t="s">
        <v>846</v>
      </c>
      <c r="C36" s="29"/>
      <c r="D36" s="29"/>
      <c r="E36" s="29"/>
      <c r="F36" s="29"/>
      <c r="G36" s="29"/>
      <c r="H36" s="29"/>
      <c r="I36" s="29"/>
      <c r="J36" s="29"/>
      <c r="K36" s="29"/>
    </row>
    <row r="37" customFormat="false" ht="57.75" hidden="false" customHeight="true" outlineLevel="0" collapsed="false">
      <c r="B37" s="10" t="s">
        <v>847</v>
      </c>
      <c r="C37" s="10"/>
      <c r="D37" s="10"/>
      <c r="E37" s="10"/>
      <c r="F37" s="10"/>
      <c r="G37" s="10"/>
      <c r="H37" s="10"/>
      <c r="I37" s="10"/>
      <c r="J37" s="10"/>
      <c r="K37" s="10"/>
    </row>
    <row r="38" customFormat="false" ht="45" hidden="false" customHeight="true" outlineLevel="0" collapsed="false">
      <c r="B38" s="10" t="s">
        <v>848</v>
      </c>
      <c r="C38" s="10"/>
      <c r="D38" s="10"/>
      <c r="E38" s="10"/>
      <c r="F38" s="10"/>
      <c r="G38" s="10"/>
      <c r="H38" s="10"/>
      <c r="I38" s="10"/>
      <c r="J38" s="10"/>
      <c r="K38" s="10"/>
    </row>
    <row r="39" customFormat="false" ht="45" hidden="false" customHeight="true" outlineLevel="0" collapsed="false">
      <c r="B39" s="34" t="s">
        <v>849</v>
      </c>
      <c r="C39" s="34"/>
      <c r="D39" s="34"/>
      <c r="E39" s="34"/>
      <c r="F39" s="34"/>
      <c r="G39" s="34"/>
      <c r="H39" s="34"/>
      <c r="I39" s="34"/>
      <c r="J39" s="34"/>
      <c r="K39" s="34"/>
    </row>
  </sheetData>
  <mergeCells count="10">
    <mergeCell ref="B2:K2"/>
    <mergeCell ref="B3:K3"/>
    <mergeCell ref="B5:K5"/>
    <mergeCell ref="B6:K6"/>
    <mergeCell ref="B8:K8"/>
    <mergeCell ref="B29:K29"/>
    <mergeCell ref="B36:K36"/>
    <mergeCell ref="B37:K37"/>
    <mergeCell ref="B38:K38"/>
    <mergeCell ref="B39:K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9"/>
    <col collapsed="false" customWidth="true" hidden="false" outlineLevel="0" max="5" min="4" style="0" width="11"/>
    <col collapsed="false" customWidth="true" hidden="false" outlineLevel="0" max="6" min="6" style="0" width="14"/>
    <col collapsed="false" customWidth="true" hidden="false" outlineLevel="0" max="7" min="7" style="0" width="11"/>
    <col collapsed="false" customWidth="true" hidden="false" outlineLevel="0" max="8" min="8" style="0" width="12"/>
    <col collapsed="false" customWidth="true" hidden="false" outlineLevel="0" max="9" min="9" style="0" width="52"/>
  </cols>
  <sheetData>
    <row r="2" customFormat="false" ht="30" hidden="false" customHeight="true" outlineLevel="0" collapsed="false">
      <c r="B2" s="1" t="s">
        <v>850</v>
      </c>
      <c r="C2" s="1"/>
      <c r="D2" s="1"/>
      <c r="E2" s="1"/>
      <c r="F2" s="1"/>
      <c r="G2" s="1"/>
      <c r="H2" s="1"/>
      <c r="I2" s="1"/>
    </row>
    <row r="3" customFormat="false" ht="19.5" hidden="false" customHeight="true" outlineLevel="0" collapsed="false">
      <c r="B3" s="2" t="s">
        <v>851</v>
      </c>
      <c r="C3" s="2"/>
      <c r="D3" s="2"/>
      <c r="E3" s="2"/>
      <c r="F3" s="2"/>
      <c r="G3" s="2"/>
      <c r="H3" s="2"/>
      <c r="I3" s="2"/>
    </row>
    <row r="4" customFormat="false" ht="6.75" hidden="false" customHeight="true" outlineLevel="0" collapsed="false"/>
    <row r="5" customFormat="false" ht="21.75" hidden="false" customHeight="true" outlineLevel="0" collapsed="false">
      <c r="B5" s="3" t="s">
        <v>852</v>
      </c>
      <c r="C5" s="3"/>
      <c r="D5" s="3"/>
      <c r="E5" s="3"/>
      <c r="F5" s="3"/>
      <c r="G5" s="3"/>
      <c r="H5" s="3"/>
      <c r="I5" s="3"/>
    </row>
    <row r="6" customFormat="false" ht="30" hidden="false" customHeight="true" outlineLevel="0" collapsed="false">
      <c r="B6" s="11"/>
      <c r="C6" s="11" t="s">
        <v>853</v>
      </c>
      <c r="D6" s="11" t="s">
        <v>854</v>
      </c>
    </row>
    <row r="7" customFormat="false" ht="51.75" hidden="false" customHeight="true" outlineLevel="0" collapsed="false">
      <c r="B7" s="26" t="s">
        <v>855</v>
      </c>
      <c r="C7" s="13" t="s">
        <v>856</v>
      </c>
      <c r="D7" s="13" t="s">
        <v>857</v>
      </c>
    </row>
    <row r="8" customFormat="false" ht="51.75" hidden="false" customHeight="true" outlineLevel="0" collapsed="false">
      <c r="B8" s="26" t="s">
        <v>858</v>
      </c>
      <c r="C8" s="13" t="s">
        <v>859</v>
      </c>
      <c r="D8" s="13" t="s">
        <v>860</v>
      </c>
    </row>
    <row r="9" customFormat="false" ht="51.75" hidden="false" customHeight="true" outlineLevel="0" collapsed="false">
      <c r="B9" s="26" t="s">
        <v>861</v>
      </c>
      <c r="C9" s="13" t="s">
        <v>862</v>
      </c>
      <c r="D9" s="13" t="s">
        <v>863</v>
      </c>
    </row>
    <row r="10" customFormat="false" ht="51.75" hidden="false" customHeight="true" outlineLevel="0" collapsed="false">
      <c r="B10" s="26" t="s">
        <v>864</v>
      </c>
      <c r="C10" s="13" t="s">
        <v>865</v>
      </c>
      <c r="D10" s="13" t="s">
        <v>866</v>
      </c>
    </row>
    <row r="11" customFormat="false" ht="6.75" hidden="false" customHeight="true" outlineLevel="0" collapsed="false"/>
    <row r="12" customFormat="false" ht="45" hidden="false" customHeight="true" outlineLevel="0" collapsed="false">
      <c r="B12" s="10" t="s">
        <v>867</v>
      </c>
      <c r="C12" s="10"/>
      <c r="D12" s="10"/>
      <c r="E12" s="10"/>
      <c r="F12" s="10"/>
      <c r="G12" s="10"/>
      <c r="H12" s="10"/>
      <c r="I12" s="10"/>
    </row>
    <row r="13" customFormat="false" ht="6.75" hidden="false" customHeight="true" outlineLevel="0" collapsed="false"/>
    <row r="14" customFormat="false" ht="21.75" hidden="false" customHeight="true" outlineLevel="0" collapsed="false">
      <c r="B14" s="3" t="s">
        <v>868</v>
      </c>
      <c r="C14" s="3"/>
      <c r="D14" s="3"/>
      <c r="E14" s="3"/>
      <c r="F14" s="3"/>
      <c r="G14" s="3"/>
      <c r="H14" s="3"/>
      <c r="I14" s="3"/>
    </row>
    <row r="15" customFormat="false" ht="42.75" hidden="false" customHeight="true" outlineLevel="0" collapsed="false">
      <c r="B15" s="4" t="s">
        <v>869</v>
      </c>
      <c r="C15" s="4"/>
      <c r="D15" s="4"/>
      <c r="E15" s="4"/>
      <c r="F15" s="4"/>
      <c r="G15" s="4"/>
      <c r="H15" s="4"/>
      <c r="I15" s="4"/>
    </row>
    <row r="16" customFormat="false" ht="30" hidden="false" customHeight="true" outlineLevel="0" collapsed="false">
      <c r="B16" s="11" t="s">
        <v>186</v>
      </c>
      <c r="C16" s="11" t="s">
        <v>250</v>
      </c>
      <c r="D16" s="11" t="s">
        <v>832</v>
      </c>
      <c r="E16" s="11" t="s">
        <v>870</v>
      </c>
      <c r="F16" s="11" t="s">
        <v>871</v>
      </c>
      <c r="G16" s="11" t="s">
        <v>872</v>
      </c>
      <c r="H16" s="11" t="s">
        <v>873</v>
      </c>
      <c r="I16" s="11" t="s">
        <v>874</v>
      </c>
    </row>
    <row r="17" customFormat="false" ht="30" hidden="false" customHeight="true" outlineLevel="0" collapsed="false">
      <c r="B17" s="26" t="s">
        <v>424</v>
      </c>
      <c r="C17" s="18" t="s">
        <v>256</v>
      </c>
      <c r="D17" s="52" t="n">
        <f aca="false">12_Similarity_Search!$D$9</f>
        <v>0</v>
      </c>
      <c r="E17" s="32" t="n">
        <f aca="false">12_Similarity_Search!$F$9</f>
        <v>14</v>
      </c>
      <c r="F17" s="67" t="n">
        <v>0.02</v>
      </c>
      <c r="G17" s="32" t="n">
        <f aca="false">RANK(F17,$F$17:$F$34)</f>
        <v>9</v>
      </c>
      <c r="H17" s="32" t="str">
        <f aca="false">IF(G17&lt;=00_START_HERE!$C$9,"► KEPT","dropped")</f>
        <v>dropped</v>
      </c>
      <c r="I17" s="13" t="s">
        <v>875</v>
      </c>
    </row>
    <row r="18" customFormat="false" ht="30" hidden="false" customHeight="true" outlineLevel="0" collapsed="false">
      <c r="B18" s="26" t="s">
        <v>427</v>
      </c>
      <c r="C18" s="18" t="s">
        <v>256</v>
      </c>
      <c r="D18" s="52" t="n">
        <f aca="false">12_Similarity_Search!$D$10</f>
        <v>0</v>
      </c>
      <c r="E18" s="32" t="n">
        <f aca="false">12_Similarity_Search!$F$10</f>
        <v>14</v>
      </c>
      <c r="F18" s="67" t="n">
        <v>0.02</v>
      </c>
      <c r="G18" s="32" t="n">
        <f aca="false">RANK(F18,$F$17:$F$34)</f>
        <v>9</v>
      </c>
      <c r="H18" s="32" t="str">
        <f aca="false">IF(G18&lt;=00_START_HERE!$C$9,"► KEPT","dropped")</f>
        <v>dropped</v>
      </c>
      <c r="I18" s="13" t="s">
        <v>875</v>
      </c>
    </row>
    <row r="19" customFormat="false" ht="30" hidden="false" customHeight="true" outlineLevel="0" collapsed="false">
      <c r="B19" s="26" t="s">
        <v>430</v>
      </c>
      <c r="C19" s="18" t="s">
        <v>261</v>
      </c>
      <c r="D19" s="52" t="n">
        <f aca="false">12_Similarity_Search!$D$11</f>
        <v>0.0816496580927726</v>
      </c>
      <c r="E19" s="32" t="n">
        <f aca="false">12_Similarity_Search!$F$11</f>
        <v>12</v>
      </c>
      <c r="F19" s="67" t="n">
        <v>0.01</v>
      </c>
      <c r="G19" s="32" t="n">
        <f aca="false">RANK(F19,$F$17:$F$34)</f>
        <v>11</v>
      </c>
      <c r="H19" s="32" t="str">
        <f aca="false">IF(G19&lt;=00_START_HERE!$C$9,"► KEPT","dropped")</f>
        <v>dropped</v>
      </c>
      <c r="I19" s="13" t="s">
        <v>875</v>
      </c>
    </row>
    <row r="20" customFormat="false" ht="30" hidden="false" customHeight="true" outlineLevel="0" collapsed="false">
      <c r="B20" s="26" t="s">
        <v>432</v>
      </c>
      <c r="C20" s="18" t="s">
        <v>265</v>
      </c>
      <c r="D20" s="52" t="n">
        <f aca="false">12_Similarity_Search!$D$12</f>
        <v>0.0487950036474267</v>
      </c>
      <c r="E20" s="32" t="n">
        <f aca="false">12_Similarity_Search!$F$12</f>
        <v>13</v>
      </c>
      <c r="F20" s="67" t="n">
        <v>0.01</v>
      </c>
      <c r="G20" s="32" t="n">
        <f aca="false">RANK(F20,$F$17:$F$34)</f>
        <v>11</v>
      </c>
      <c r="H20" s="32" t="str">
        <f aca="false">IF(G20&lt;=00_START_HERE!$C$9,"► KEPT","dropped")</f>
        <v>dropped</v>
      </c>
      <c r="I20" s="13" t="s">
        <v>875</v>
      </c>
    </row>
    <row r="21" customFormat="false" ht="30" hidden="false" customHeight="true" outlineLevel="0" collapsed="false">
      <c r="B21" s="26" t="s">
        <v>433</v>
      </c>
      <c r="C21" s="18" t="s">
        <v>269</v>
      </c>
      <c r="D21" s="52" t="n">
        <f aca="false">12_Similarity_Search!$D$13</f>
        <v>0.235702260395516</v>
      </c>
      <c r="E21" s="32" t="n">
        <f aca="false">12_Similarity_Search!$F$13</f>
        <v>9</v>
      </c>
      <c r="F21" s="67" t="n">
        <v>0.04</v>
      </c>
      <c r="G21" s="32" t="n">
        <f aca="false">RANK(F21,$F$17:$F$34)</f>
        <v>6</v>
      </c>
      <c r="H21" s="32" t="str">
        <f aca="false">IF(G21&lt;=00_START_HERE!$C$9,"► KEPT","dropped")</f>
        <v>dropped</v>
      </c>
      <c r="I21" s="13" t="s">
        <v>875</v>
      </c>
    </row>
    <row r="22" customFormat="false" ht="30" hidden="false" customHeight="true" outlineLevel="0" collapsed="false">
      <c r="B22" s="26" t="s">
        <v>434</v>
      </c>
      <c r="C22" s="18" t="s">
        <v>273</v>
      </c>
      <c r="D22" s="52" t="n">
        <f aca="false">12_Similarity_Search!$D$14</f>
        <v>0.402693633128415</v>
      </c>
      <c r="E22" s="32" t="n">
        <f aca="false">12_Similarity_Search!$F$14</f>
        <v>5</v>
      </c>
      <c r="F22" s="67" t="n">
        <v>0.03</v>
      </c>
      <c r="G22" s="32" t="n">
        <f aca="false">RANK(F22,$F$17:$F$34)</f>
        <v>7</v>
      </c>
      <c r="H22" s="32" t="str">
        <f aca="false">IF(G22&lt;=00_START_HERE!$C$9,"► KEPT","dropped")</f>
        <v>dropped</v>
      </c>
      <c r="I22" s="13" t="s">
        <v>875</v>
      </c>
    </row>
    <row r="23" customFormat="false" ht="30" hidden="false" customHeight="true" outlineLevel="0" collapsed="false">
      <c r="B23" s="27" t="s">
        <v>435</v>
      </c>
      <c r="C23" s="18" t="s">
        <v>277</v>
      </c>
      <c r="D23" s="52" t="n">
        <f aca="false">12_Similarity_Search!$D$15</f>
        <v>0.389249472080762</v>
      </c>
      <c r="E23" s="32" t="n">
        <f aca="false">12_Similarity_Search!$F$15</f>
        <v>6</v>
      </c>
      <c r="F23" s="67" t="n">
        <v>0.18</v>
      </c>
      <c r="G23" s="32" t="n">
        <f aca="false">RANK(F23,$F$17:$F$34)</f>
        <v>3</v>
      </c>
      <c r="H23" s="32" t="str">
        <f aca="false">IF(G23&lt;=00_START_HERE!$C$9,"► KEPT","dropped")</f>
        <v>► KEPT</v>
      </c>
      <c r="I23" s="13" t="s">
        <v>876</v>
      </c>
    </row>
    <row r="24" customFormat="false" ht="30" hidden="false" customHeight="true" outlineLevel="0" collapsed="false">
      <c r="B24" s="27" t="s">
        <v>437</v>
      </c>
      <c r="C24" s="18" t="s">
        <v>277</v>
      </c>
      <c r="D24" s="52" t="n">
        <f aca="false">12_Similarity_Search!$D$16</f>
        <v>0.774138734428038</v>
      </c>
      <c r="E24" s="32" t="n">
        <f aca="false">12_Similarity_Search!$F$16</f>
        <v>2</v>
      </c>
      <c r="F24" s="67" t="n">
        <v>0.09</v>
      </c>
      <c r="G24" s="32" t="n">
        <f aca="false">RANK(F24,$F$17:$F$34)</f>
        <v>5</v>
      </c>
      <c r="H24" s="32" t="str">
        <f aca="false">IF(G24&lt;=00_START_HERE!$C$9,"► KEPT","dropped")</f>
        <v>dropped</v>
      </c>
      <c r="I24" s="13" t="s">
        <v>877</v>
      </c>
    </row>
    <row r="25" customFormat="false" ht="30" hidden="false" customHeight="true" outlineLevel="0" collapsed="false">
      <c r="B25" s="26" t="s">
        <v>439</v>
      </c>
      <c r="C25" s="18" t="s">
        <v>281</v>
      </c>
      <c r="D25" s="52" t="n">
        <f aca="false">12_Similarity_Search!$D$17</f>
        <v>0.640512615220349</v>
      </c>
      <c r="E25" s="32" t="n">
        <f aca="false">12_Similarity_Search!$F$17</f>
        <v>4</v>
      </c>
      <c r="F25" s="67" t="n">
        <v>0.12</v>
      </c>
      <c r="G25" s="32" t="n">
        <f aca="false">RANK(F25,$F$17:$F$34)</f>
        <v>4</v>
      </c>
      <c r="H25" s="32" t="str">
        <f aca="false">IF(G25&lt;=00_START_HERE!$C$9,"► KEPT","dropped")</f>
        <v>dropped</v>
      </c>
      <c r="I25" s="13" t="s">
        <v>878</v>
      </c>
    </row>
    <row r="26" customFormat="false" ht="30" hidden="false" customHeight="true" outlineLevel="0" collapsed="false">
      <c r="B26" s="33" t="s">
        <v>440</v>
      </c>
      <c r="C26" s="18" t="s">
        <v>285</v>
      </c>
      <c r="D26" s="52" t="n">
        <f aca="false">12_Similarity_Search!$D$18</f>
        <v>0.825722823844771</v>
      </c>
      <c r="E26" s="32" t="n">
        <f aca="false">12_Similarity_Search!$F$18</f>
        <v>1</v>
      </c>
      <c r="F26" s="67" t="n">
        <v>0.86</v>
      </c>
      <c r="G26" s="32" t="n">
        <f aca="false">RANK(F26,$F$17:$F$34)</f>
        <v>2</v>
      </c>
      <c r="H26" s="32" t="str">
        <f aca="false">IF(G26&lt;=00_START_HERE!$C$9,"► KEPT","dropped")</f>
        <v>► KEPT</v>
      </c>
      <c r="I26" s="13" t="s">
        <v>879</v>
      </c>
    </row>
    <row r="27" customFormat="false" ht="30" hidden="false" customHeight="true" outlineLevel="0" collapsed="false">
      <c r="B27" s="33" t="s">
        <v>442</v>
      </c>
      <c r="C27" s="18" t="s">
        <v>285</v>
      </c>
      <c r="D27" s="52" t="n">
        <f aca="false">12_Similarity_Search!$D$19</f>
        <v>0.770674635588452</v>
      </c>
      <c r="E27" s="32" t="n">
        <f aca="false">12_Similarity_Search!$F$19</f>
        <v>3</v>
      </c>
      <c r="F27" s="67" t="n">
        <v>0.97</v>
      </c>
      <c r="G27" s="32" t="n">
        <f aca="false">RANK(F27,$F$17:$F$34)</f>
        <v>1</v>
      </c>
      <c r="H27" s="32" t="str">
        <f aca="false">IF(G27&lt;=00_START_HERE!$C$9,"► KEPT","dropped")</f>
        <v>► KEPT</v>
      </c>
      <c r="I27" s="13" t="s">
        <v>880</v>
      </c>
    </row>
    <row r="28" customFormat="false" ht="30" hidden="false" customHeight="true" outlineLevel="0" collapsed="false">
      <c r="B28" s="26" t="s">
        <v>444</v>
      </c>
      <c r="C28" s="18" t="s">
        <v>289</v>
      </c>
      <c r="D28" s="52" t="n">
        <f aca="false">12_Similarity_Search!$D$20</f>
        <v>0.333333333333333</v>
      </c>
      <c r="E28" s="32" t="n">
        <f aca="false">12_Similarity_Search!$F$20</f>
        <v>8</v>
      </c>
      <c r="F28" s="67" t="n">
        <v>0.01</v>
      </c>
      <c r="G28" s="32" t="n">
        <f aca="false">RANK(F28,$F$17:$F$34)</f>
        <v>11</v>
      </c>
      <c r="H28" s="32" t="str">
        <f aca="false">IF(G28&lt;=00_START_HERE!$C$9,"► KEPT","dropped")</f>
        <v>dropped</v>
      </c>
      <c r="I28" s="13" t="s">
        <v>875</v>
      </c>
    </row>
    <row r="29" customFormat="false" ht="30" hidden="false" customHeight="true" outlineLevel="0" collapsed="false">
      <c r="B29" s="26" t="s">
        <v>445</v>
      </c>
      <c r="C29" s="18" t="s">
        <v>294</v>
      </c>
      <c r="D29" s="52" t="n">
        <f aca="false">12_Similarity_Search!$D$21</f>
        <v>0.210818510677892</v>
      </c>
      <c r="E29" s="32" t="n">
        <f aca="false">12_Similarity_Search!$F$21</f>
        <v>10</v>
      </c>
      <c r="F29" s="67" t="n">
        <v>0.01</v>
      </c>
      <c r="G29" s="32" t="n">
        <f aca="false">RANK(F29,$F$17:$F$34)</f>
        <v>11</v>
      </c>
      <c r="H29" s="32" t="str">
        <f aca="false">IF(G29&lt;=00_START_HERE!$C$9,"► KEPT","dropped")</f>
        <v>dropped</v>
      </c>
      <c r="I29" s="13" t="s">
        <v>875</v>
      </c>
    </row>
    <row r="30" customFormat="false" ht="30" hidden="false" customHeight="true" outlineLevel="0" collapsed="false">
      <c r="B30" s="26" t="s">
        <v>446</v>
      </c>
      <c r="C30" s="18" t="s">
        <v>297</v>
      </c>
      <c r="D30" s="52" t="n">
        <f aca="false">12_Similarity_Search!$D$22</f>
        <v>0</v>
      </c>
      <c r="E30" s="32" t="n">
        <f aca="false">12_Similarity_Search!$F$22</f>
        <v>14</v>
      </c>
      <c r="F30" s="67" t="n">
        <v>0.01</v>
      </c>
      <c r="G30" s="32" t="n">
        <f aca="false">RANK(F30,$F$17:$F$34)</f>
        <v>11</v>
      </c>
      <c r="H30" s="32" t="str">
        <f aca="false">IF(G30&lt;=00_START_HERE!$C$9,"► KEPT","dropped")</f>
        <v>dropped</v>
      </c>
      <c r="I30" s="13" t="s">
        <v>875</v>
      </c>
    </row>
    <row r="31" customFormat="false" ht="30" hidden="false" customHeight="true" outlineLevel="0" collapsed="false">
      <c r="B31" s="26" t="s">
        <v>447</v>
      </c>
      <c r="C31" s="18" t="s">
        <v>301</v>
      </c>
      <c r="D31" s="52" t="n">
        <f aca="false">12_Similarity_Search!$D$23</f>
        <v>0</v>
      </c>
      <c r="E31" s="32" t="n">
        <f aca="false">12_Similarity_Search!$F$23</f>
        <v>14</v>
      </c>
      <c r="F31" s="67" t="n">
        <v>0.01</v>
      </c>
      <c r="G31" s="32" t="n">
        <f aca="false">RANK(F31,$F$17:$F$34)</f>
        <v>11</v>
      </c>
      <c r="H31" s="32" t="str">
        <f aca="false">IF(G31&lt;=00_START_HERE!$C$9,"► KEPT","dropped")</f>
        <v>dropped</v>
      </c>
      <c r="I31" s="13" t="s">
        <v>875</v>
      </c>
    </row>
    <row r="32" customFormat="false" ht="30" hidden="false" customHeight="true" outlineLevel="0" collapsed="false">
      <c r="B32" s="26" t="s">
        <v>448</v>
      </c>
      <c r="C32" s="18" t="s">
        <v>305</v>
      </c>
      <c r="D32" s="52" t="n">
        <f aca="false">12_Similarity_Search!$D$24</f>
        <v>0.361157559257308</v>
      </c>
      <c r="E32" s="32" t="n">
        <f aca="false">12_Similarity_Search!$F$24</f>
        <v>7</v>
      </c>
      <c r="F32" s="67" t="n">
        <v>0.03</v>
      </c>
      <c r="G32" s="32" t="n">
        <f aca="false">RANK(F32,$F$17:$F$34)</f>
        <v>7</v>
      </c>
      <c r="H32" s="32" t="str">
        <f aca="false">IF(G32&lt;=00_START_HERE!$C$9,"► KEPT","dropped")</f>
        <v>dropped</v>
      </c>
      <c r="I32" s="13" t="s">
        <v>881</v>
      </c>
    </row>
    <row r="33" customFormat="false" ht="30" hidden="false" customHeight="true" outlineLevel="0" collapsed="false">
      <c r="B33" s="26" t="s">
        <v>450</v>
      </c>
      <c r="C33" s="18" t="s">
        <v>305</v>
      </c>
      <c r="D33" s="52" t="n">
        <f aca="false">12_Similarity_Search!$D$25</f>
        <v>0.163299316185545</v>
      </c>
      <c r="E33" s="32" t="n">
        <f aca="false">12_Similarity_Search!$F$25</f>
        <v>11</v>
      </c>
      <c r="F33" s="67" t="n">
        <v>0.01</v>
      </c>
      <c r="G33" s="32" t="n">
        <f aca="false">RANK(F33,$F$17:$F$34)</f>
        <v>11</v>
      </c>
      <c r="H33" s="32" t="str">
        <f aca="false">IF(G33&lt;=00_START_HERE!$C$9,"► KEPT","dropped")</f>
        <v>dropped</v>
      </c>
      <c r="I33" s="13" t="s">
        <v>875</v>
      </c>
    </row>
    <row r="34" customFormat="false" ht="30" hidden="false" customHeight="true" outlineLevel="0" collapsed="false">
      <c r="B34" s="26" t="s">
        <v>452</v>
      </c>
      <c r="C34" s="18" t="s">
        <v>309</v>
      </c>
      <c r="D34" s="52" t="n">
        <f aca="false">12_Similarity_Search!$D$26</f>
        <v>0</v>
      </c>
      <c r="E34" s="32" t="n">
        <f aca="false">12_Similarity_Search!$F$26</f>
        <v>14</v>
      </c>
      <c r="F34" s="67" t="n">
        <v>0.01</v>
      </c>
      <c r="G34" s="32" t="n">
        <f aca="false">RANK(F34,$F$17:$F$34)</f>
        <v>11</v>
      </c>
      <c r="H34" s="32" t="str">
        <f aca="false">IF(G34&lt;=00_START_HERE!$C$9,"► KEPT","dropped")</f>
        <v>dropped</v>
      </c>
      <c r="I34" s="13" t="s">
        <v>875</v>
      </c>
    </row>
    <row r="35" customFormat="false" ht="6.75" hidden="false" customHeight="true" outlineLevel="0" collapsed="false"/>
    <row r="36" customFormat="false" ht="57.75" hidden="false" customHeight="true" outlineLevel="0" collapsed="false">
      <c r="B36" s="68" t="s">
        <v>882</v>
      </c>
      <c r="C36" s="68"/>
      <c r="D36" s="68"/>
      <c r="E36" s="68"/>
      <c r="F36" s="68"/>
      <c r="G36" s="68"/>
      <c r="H36" s="68"/>
      <c r="I36" s="68"/>
    </row>
    <row r="37" customFormat="false" ht="6.75" hidden="false" customHeight="true" outlineLevel="0" collapsed="false"/>
    <row r="38" customFormat="false" ht="21.75" hidden="false" customHeight="true" outlineLevel="0" collapsed="false">
      <c r="B38" s="3" t="s">
        <v>883</v>
      </c>
      <c r="C38" s="3"/>
      <c r="D38" s="3"/>
      <c r="E38" s="3"/>
      <c r="F38" s="3"/>
      <c r="G38" s="3"/>
      <c r="H38" s="3"/>
      <c r="I38" s="3"/>
    </row>
    <row r="39" customFormat="false" ht="30" hidden="false" customHeight="true" outlineLevel="0" collapsed="false">
      <c r="B39" s="11" t="s">
        <v>884</v>
      </c>
      <c r="C39" s="11" t="s">
        <v>885</v>
      </c>
    </row>
    <row r="40" customFormat="false" ht="36" hidden="false" customHeight="true" outlineLevel="0" collapsed="false">
      <c r="B40" s="26" t="s">
        <v>886</v>
      </c>
      <c r="C40" s="13" t="s">
        <v>887</v>
      </c>
    </row>
    <row r="41" customFormat="false" ht="36" hidden="false" customHeight="true" outlineLevel="0" collapsed="false">
      <c r="B41" s="26" t="s">
        <v>888</v>
      </c>
      <c r="C41" s="13" t="s">
        <v>889</v>
      </c>
    </row>
    <row r="42" customFormat="false" ht="36" hidden="false" customHeight="true" outlineLevel="0" collapsed="false">
      <c r="B42" s="26" t="s">
        <v>890</v>
      </c>
      <c r="C42" s="13" t="s">
        <v>891</v>
      </c>
    </row>
    <row r="43" customFormat="false" ht="36" hidden="false" customHeight="true" outlineLevel="0" collapsed="false">
      <c r="B43" s="26" t="s">
        <v>892</v>
      </c>
      <c r="C43" s="13" t="s">
        <v>893</v>
      </c>
    </row>
    <row r="44" customFormat="false" ht="36" hidden="false" customHeight="true" outlineLevel="0" collapsed="false">
      <c r="B44" s="26" t="s">
        <v>894</v>
      </c>
      <c r="C44" s="28" t="s">
        <v>895</v>
      </c>
    </row>
  </sheetData>
  <mergeCells count="8">
    <mergeCell ref="B2:I2"/>
    <mergeCell ref="B3:I3"/>
    <mergeCell ref="B5:I5"/>
    <mergeCell ref="B12:I12"/>
    <mergeCell ref="B14:I14"/>
    <mergeCell ref="B15:I15"/>
    <mergeCell ref="B36:I36"/>
    <mergeCell ref="B38:I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10" min="3" style="0" width="15"/>
  </cols>
  <sheetData>
    <row r="2" customFormat="false" ht="30" hidden="false" customHeight="true" outlineLevel="0" collapsed="false">
      <c r="B2" s="1" t="s">
        <v>896</v>
      </c>
      <c r="C2" s="1"/>
      <c r="D2" s="1"/>
      <c r="E2" s="1"/>
      <c r="F2" s="1"/>
      <c r="G2" s="1"/>
      <c r="H2" s="1"/>
      <c r="I2" s="1"/>
      <c r="J2" s="1"/>
    </row>
    <row r="3" customFormat="false" ht="19.5" hidden="false" customHeight="true" outlineLevel="0" collapsed="false">
      <c r="B3" s="2" t="s">
        <v>897</v>
      </c>
      <c r="C3" s="2"/>
      <c r="D3" s="2"/>
      <c r="E3" s="2"/>
      <c r="F3" s="2"/>
      <c r="G3" s="2"/>
      <c r="H3" s="2"/>
      <c r="I3" s="2"/>
      <c r="J3" s="2"/>
    </row>
    <row r="4" customFormat="false" ht="6.75" hidden="false" customHeight="true" outlineLevel="0" collapsed="false"/>
    <row r="5" customFormat="false" ht="55.5" hidden="false" customHeight="true" outlineLevel="0" collapsed="false">
      <c r="B5" s="4" t="s">
        <v>898</v>
      </c>
      <c r="C5" s="4"/>
      <c r="D5" s="4"/>
      <c r="E5" s="4"/>
      <c r="F5" s="4"/>
      <c r="G5" s="4"/>
      <c r="H5" s="4"/>
      <c r="I5" s="4"/>
      <c r="J5" s="4"/>
    </row>
    <row r="6" customFormat="false" ht="6.75" hidden="false" customHeight="true" outlineLevel="0" collapsed="false"/>
    <row r="7" customFormat="false" ht="21.75" hidden="false" customHeight="true" outlineLevel="0" collapsed="false">
      <c r="B7" s="3" t="s">
        <v>899</v>
      </c>
      <c r="C7" s="3"/>
      <c r="D7" s="3"/>
      <c r="E7" s="3"/>
      <c r="F7" s="3"/>
      <c r="G7" s="3"/>
      <c r="H7" s="3"/>
      <c r="I7" s="3"/>
      <c r="J7" s="3"/>
    </row>
    <row r="8" customFormat="false" ht="30" hidden="false" customHeight="true" outlineLevel="0" collapsed="false">
      <c r="B8" s="11" t="s">
        <v>900</v>
      </c>
      <c r="C8" s="11" t="s">
        <v>813</v>
      </c>
      <c r="D8" s="11" t="s">
        <v>901</v>
      </c>
      <c r="E8" s="11" t="s">
        <v>902</v>
      </c>
    </row>
    <row r="9" customFormat="false" ht="61.5" hidden="false" customHeight="true" outlineLevel="0" collapsed="false">
      <c r="B9" s="26" t="s">
        <v>903</v>
      </c>
      <c r="C9" s="13" t="s">
        <v>904</v>
      </c>
      <c r="D9" s="13" t="s">
        <v>905</v>
      </c>
      <c r="E9" s="13" t="s">
        <v>906</v>
      </c>
    </row>
    <row r="10" customFormat="false" ht="61.5" hidden="false" customHeight="true" outlineLevel="0" collapsed="false">
      <c r="B10" s="26" t="s">
        <v>907</v>
      </c>
      <c r="C10" s="13" t="s">
        <v>908</v>
      </c>
      <c r="D10" s="13" t="s">
        <v>909</v>
      </c>
      <c r="E10" s="13" t="s">
        <v>910</v>
      </c>
    </row>
    <row r="11" customFormat="false" ht="61.5" hidden="false" customHeight="true" outlineLevel="0" collapsed="false">
      <c r="B11" s="26" t="s">
        <v>911</v>
      </c>
      <c r="C11" s="13" t="s">
        <v>912</v>
      </c>
      <c r="D11" s="13" t="s">
        <v>913</v>
      </c>
      <c r="E11" s="13" t="s">
        <v>914</v>
      </c>
    </row>
    <row r="12" customFormat="false" ht="61.5" hidden="false" customHeight="true" outlineLevel="0" collapsed="false">
      <c r="B12" s="26" t="s">
        <v>915</v>
      </c>
      <c r="C12" s="13" t="s">
        <v>916</v>
      </c>
      <c r="D12" s="13" t="s">
        <v>917</v>
      </c>
      <c r="E12" s="13" t="s">
        <v>918</v>
      </c>
    </row>
    <row r="13" customFormat="false" ht="61.5" hidden="false" customHeight="true" outlineLevel="0" collapsed="false">
      <c r="B13" s="26" t="s">
        <v>708</v>
      </c>
      <c r="C13" s="13" t="s">
        <v>919</v>
      </c>
      <c r="D13" s="13" t="s">
        <v>920</v>
      </c>
      <c r="E13" s="13" t="s">
        <v>921</v>
      </c>
    </row>
    <row r="14" customFormat="false" ht="6.75" hidden="false" customHeight="true" outlineLevel="0" collapsed="false"/>
    <row r="15" customFormat="false" ht="57.75" hidden="false" customHeight="true" outlineLevel="0" collapsed="false">
      <c r="B15" s="10" t="s">
        <v>922</v>
      </c>
      <c r="C15" s="10"/>
      <c r="D15" s="10"/>
      <c r="E15" s="10"/>
      <c r="F15" s="10"/>
      <c r="G15" s="10"/>
      <c r="H15" s="10"/>
      <c r="I15" s="10"/>
      <c r="J15" s="10"/>
    </row>
    <row r="16" customFormat="false" ht="6.75" hidden="false" customHeight="true" outlineLevel="0" collapsed="false"/>
    <row r="17" customFormat="false" ht="21.75" hidden="false" customHeight="true" outlineLevel="0" collapsed="false">
      <c r="B17" s="3" t="s">
        <v>923</v>
      </c>
      <c r="C17" s="3"/>
      <c r="D17" s="3"/>
      <c r="E17" s="3"/>
      <c r="F17" s="3"/>
      <c r="G17" s="3"/>
      <c r="H17" s="3"/>
      <c r="I17" s="3"/>
      <c r="J17" s="3"/>
    </row>
    <row r="18" customFormat="false" ht="55.5" hidden="false" customHeight="true" outlineLevel="0" collapsed="false">
      <c r="B18" s="4" t="s">
        <v>924</v>
      </c>
      <c r="C18" s="4"/>
      <c r="D18" s="4"/>
      <c r="E18" s="4"/>
      <c r="F18" s="4"/>
      <c r="G18" s="4"/>
      <c r="H18" s="4"/>
      <c r="I18" s="4"/>
      <c r="J18" s="4"/>
    </row>
    <row r="19" customFormat="false" ht="30" hidden="false" customHeight="true" outlineLevel="0" collapsed="false">
      <c r="B19" s="11" t="s">
        <v>925</v>
      </c>
      <c r="C19" s="11" t="s">
        <v>926</v>
      </c>
    </row>
    <row r="20" customFormat="false" ht="27.75" hidden="false" customHeight="true" outlineLevel="0" collapsed="false">
      <c r="B20" s="26" t="s">
        <v>927</v>
      </c>
      <c r="C20" s="13" t="s">
        <v>928</v>
      </c>
    </row>
    <row r="21" customFormat="false" ht="27.75" hidden="false" customHeight="true" outlineLevel="0" collapsed="false">
      <c r="B21" s="26" t="s">
        <v>929</v>
      </c>
      <c r="C21" s="13" t="s">
        <v>930</v>
      </c>
    </row>
    <row r="22" customFormat="false" ht="27.75" hidden="false" customHeight="true" outlineLevel="0" collapsed="false">
      <c r="B22" s="26" t="s">
        <v>931</v>
      </c>
      <c r="C22" s="13" t="s">
        <v>932</v>
      </c>
    </row>
    <row r="23" customFormat="false" ht="27.75" hidden="false" customHeight="true" outlineLevel="0" collapsed="false">
      <c r="B23" s="26" t="s">
        <v>933</v>
      </c>
      <c r="C23" s="13" t="s">
        <v>934</v>
      </c>
    </row>
    <row r="24" customFormat="false" ht="27.75" hidden="false" customHeight="true" outlineLevel="0" collapsed="false">
      <c r="B24" s="26" t="s">
        <v>935</v>
      </c>
      <c r="C24" s="13" t="s">
        <v>936</v>
      </c>
    </row>
    <row r="25" customFormat="false" ht="27.75" hidden="false" customHeight="true" outlineLevel="0" collapsed="false">
      <c r="B25" s="26" t="s">
        <v>937</v>
      </c>
      <c r="C25" s="13" t="s">
        <v>938</v>
      </c>
    </row>
    <row r="26" customFormat="false" ht="57.75" hidden="false" customHeight="true" outlineLevel="0" collapsed="false">
      <c r="B26" s="29" t="s">
        <v>939</v>
      </c>
      <c r="C26" s="29"/>
      <c r="D26" s="29"/>
      <c r="E26" s="29"/>
      <c r="F26" s="29"/>
      <c r="G26" s="29"/>
      <c r="H26" s="29"/>
      <c r="I26" s="29"/>
      <c r="J26" s="29"/>
    </row>
  </sheetData>
  <mergeCells count="8">
    <mergeCell ref="B2:J2"/>
    <mergeCell ref="B3:J3"/>
    <mergeCell ref="B5:J5"/>
    <mergeCell ref="B7:J7"/>
    <mergeCell ref="B15:J15"/>
    <mergeCell ref="B17:J17"/>
    <mergeCell ref="B18:J18"/>
    <mergeCell ref="B26:J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4" min="3" style="0" width="15"/>
    <col collapsed="false" customWidth="true" hidden="false" outlineLevel="0" max="5" min="5" style="0" width="66"/>
    <col collapsed="false" customWidth="true" hidden="false" outlineLevel="0" max="9" min="6" style="0" width="15"/>
  </cols>
  <sheetData>
    <row r="2" customFormat="false" ht="30" hidden="false" customHeight="true" outlineLevel="0" collapsed="false">
      <c r="B2" s="1" t="s">
        <v>940</v>
      </c>
      <c r="C2" s="1"/>
      <c r="D2" s="1"/>
      <c r="E2" s="1"/>
    </row>
    <row r="3" customFormat="false" ht="19.5" hidden="false" customHeight="true" outlineLevel="0" collapsed="false">
      <c r="B3" s="2" t="s">
        <v>941</v>
      </c>
      <c r="C3" s="2"/>
      <c r="D3" s="2"/>
      <c r="E3" s="2"/>
    </row>
    <row r="4" customFormat="false" ht="6.75" hidden="false" customHeight="true" outlineLevel="0" collapsed="false"/>
    <row r="5" customFormat="false" ht="21.75" hidden="false" customHeight="true" outlineLevel="0" collapsed="false">
      <c r="B5" s="3" t="s">
        <v>942</v>
      </c>
      <c r="C5" s="3"/>
      <c r="D5" s="3"/>
      <c r="E5" s="3"/>
    </row>
    <row r="6" customFormat="false" ht="30" hidden="false" customHeight="true" outlineLevel="0" collapsed="false">
      <c r="B6" s="11" t="s">
        <v>604</v>
      </c>
      <c r="C6" s="11" t="s">
        <v>943</v>
      </c>
      <c r="D6" s="11" t="s">
        <v>944</v>
      </c>
      <c r="E6" s="11" t="s">
        <v>945</v>
      </c>
    </row>
    <row r="7" customFormat="false" ht="16.5" hidden="false" customHeight="true" outlineLevel="0" collapsed="false">
      <c r="B7" s="18" t="s">
        <v>946</v>
      </c>
      <c r="C7" s="69" t="n">
        <v>128000</v>
      </c>
      <c r="D7" s="18"/>
      <c r="E7" s="13" t="s">
        <v>947</v>
      </c>
    </row>
    <row r="8" customFormat="false" ht="16.5" hidden="false" customHeight="true" outlineLevel="0" collapsed="false">
      <c r="B8" s="18" t="s">
        <v>948</v>
      </c>
      <c r="C8" s="69" t="n">
        <v>400</v>
      </c>
      <c r="D8" s="18"/>
      <c r="E8" s="13" t="s">
        <v>949</v>
      </c>
    </row>
    <row r="9" customFormat="false" ht="16.5" hidden="false" customHeight="true" outlineLevel="0" collapsed="false">
      <c r="B9" s="18" t="s">
        <v>950</v>
      </c>
      <c r="C9" s="69" t="n">
        <v>1200</v>
      </c>
      <c r="D9" s="18"/>
      <c r="E9" s="13" t="s">
        <v>951</v>
      </c>
    </row>
    <row r="10" customFormat="false" ht="16.5" hidden="false" customHeight="true" outlineLevel="0" collapsed="false">
      <c r="B10" s="18" t="s">
        <v>952</v>
      </c>
      <c r="C10" s="69" t="n">
        <v>800</v>
      </c>
      <c r="D10" s="18"/>
      <c r="E10" s="13" t="s">
        <v>953</v>
      </c>
    </row>
    <row r="11" customFormat="false" ht="16.5" hidden="false" customHeight="true" outlineLevel="0" collapsed="false">
      <c r="B11" s="18" t="s">
        <v>954</v>
      </c>
      <c r="C11" s="61" t="n">
        <f aca="false">SUMPRODUCT((12_Similarity_Search!$F$9:$F$26&lt;=00_START_HERE!$C$9)*1,06_Chunks!$E$8:$E$25)</f>
        <v>110</v>
      </c>
      <c r="D11" s="18"/>
      <c r="E11" s="13" t="s">
        <v>955</v>
      </c>
    </row>
    <row r="12" customFormat="false" ht="16.5" hidden="false" customHeight="true" outlineLevel="0" collapsed="false">
      <c r="B12" s="18" t="s">
        <v>956</v>
      </c>
      <c r="C12" s="61" t="n">
        <f aca="false">C11*1.33</f>
        <v>146.3</v>
      </c>
      <c r="D12" s="18"/>
      <c r="E12" s="13" t="s">
        <v>957</v>
      </c>
    </row>
    <row r="13" customFormat="false" ht="16.5" hidden="false" customHeight="true" outlineLevel="0" collapsed="false">
      <c r="B13" s="26" t="s">
        <v>958</v>
      </c>
      <c r="C13" s="70" t="n">
        <f aca="false">C8+C9+C10+C12</f>
        <v>2546.3</v>
      </c>
      <c r="D13" s="18"/>
      <c r="E13" s="13" t="s">
        <v>959</v>
      </c>
    </row>
    <row r="14" customFormat="false" ht="16.5" hidden="false" customHeight="true" outlineLevel="0" collapsed="false">
      <c r="B14" s="26" t="s">
        <v>960</v>
      </c>
      <c r="C14" s="71" t="n">
        <f aca="false">C7-C13</f>
        <v>125453.7</v>
      </c>
      <c r="D14" s="18"/>
      <c r="E14" s="13" t="s">
        <v>961</v>
      </c>
    </row>
    <row r="15" customFormat="false" ht="16.5" hidden="false" customHeight="true" outlineLevel="0" collapsed="false">
      <c r="B15" s="18" t="s">
        <v>962</v>
      </c>
      <c r="C15" s="61" t="n">
        <f aca="false">IFERROR(INT((C7-C8-C9-C10)/(AVERAGE(06_Chunks!$E$8:$E$25)*1.33)),0)</f>
        <v>2672</v>
      </c>
      <c r="D15" s="18"/>
      <c r="E15" s="13" t="s">
        <v>963</v>
      </c>
    </row>
    <row r="16" customFormat="false" ht="6.75" hidden="false" customHeight="true" outlineLevel="0" collapsed="false"/>
    <row r="17" customFormat="false" ht="57.75" hidden="false" customHeight="true" outlineLevel="0" collapsed="false">
      <c r="B17" s="10" t="s">
        <v>964</v>
      </c>
      <c r="C17" s="10"/>
      <c r="D17" s="10"/>
      <c r="E17" s="10"/>
    </row>
    <row r="18" customFormat="false" ht="6.75" hidden="false" customHeight="true" outlineLevel="0" collapsed="false"/>
    <row r="19" customFormat="false" ht="21.75" hidden="false" customHeight="true" outlineLevel="0" collapsed="false">
      <c r="B19" s="3" t="s">
        <v>965</v>
      </c>
      <c r="C19" s="3"/>
      <c r="D19" s="3"/>
      <c r="E19" s="3"/>
    </row>
    <row r="20" customFormat="false" ht="30" hidden="false" customHeight="true" outlineLevel="0" collapsed="false">
      <c r="B20" s="4" t="s">
        <v>966</v>
      </c>
      <c r="C20" s="4"/>
      <c r="D20" s="4"/>
      <c r="E20" s="4"/>
    </row>
    <row r="21" customFormat="false" ht="30" hidden="false" customHeight="true" outlineLevel="0" collapsed="false">
      <c r="B21" s="11" t="s">
        <v>395</v>
      </c>
      <c r="C21" s="11" t="s">
        <v>967</v>
      </c>
      <c r="D21" s="11" t="s">
        <v>968</v>
      </c>
    </row>
    <row r="22" customFormat="false" ht="31.5" hidden="false" customHeight="true" outlineLevel="0" collapsed="false">
      <c r="B22" s="26" t="s">
        <v>969</v>
      </c>
      <c r="C22" s="13" t="s">
        <v>970</v>
      </c>
      <c r="D22" s="13" t="s">
        <v>971</v>
      </c>
    </row>
    <row r="23" customFormat="false" ht="31.5" hidden="false" customHeight="true" outlineLevel="0" collapsed="false">
      <c r="B23" s="26" t="s">
        <v>972</v>
      </c>
      <c r="C23" s="13" t="s">
        <v>973</v>
      </c>
      <c r="D23" s="13" t="s">
        <v>974</v>
      </c>
    </row>
    <row r="24" customFormat="false" ht="31.5" hidden="false" customHeight="true" outlineLevel="0" collapsed="false">
      <c r="B24" s="26" t="s">
        <v>975</v>
      </c>
      <c r="C24" s="13" t="s">
        <v>976</v>
      </c>
      <c r="D24" s="13" t="s">
        <v>977</v>
      </c>
    </row>
    <row r="25" customFormat="false" ht="6.75" hidden="false" customHeight="true" outlineLevel="0" collapsed="false"/>
    <row r="26" customFormat="false" ht="21.75" hidden="false" customHeight="true" outlineLevel="0" collapsed="false">
      <c r="B26" s="3" t="s">
        <v>978</v>
      </c>
      <c r="C26" s="3"/>
      <c r="D26" s="3"/>
      <c r="E26" s="3"/>
    </row>
    <row r="27" customFormat="false" ht="42.75" hidden="false" customHeight="true" outlineLevel="0" collapsed="false">
      <c r="B27" s="4" t="s">
        <v>979</v>
      </c>
      <c r="C27" s="4"/>
      <c r="D27" s="4"/>
      <c r="E27" s="4"/>
    </row>
    <row r="28" customFormat="false" ht="289.5" hidden="false" customHeight="true" outlineLevel="0" collapsed="false">
      <c r="B28" s="72" t="s">
        <v>980</v>
      </c>
      <c r="C28" s="72"/>
      <c r="D28" s="72"/>
      <c r="E28" s="72"/>
    </row>
    <row r="29" customFormat="false" ht="6.75" hidden="false" customHeight="true" outlineLevel="0" collapsed="false"/>
    <row r="30" customFormat="false" ht="45" hidden="false" customHeight="true" outlineLevel="0" collapsed="false">
      <c r="B30" s="10" t="s">
        <v>981</v>
      </c>
      <c r="C30" s="10"/>
      <c r="D30" s="10"/>
      <c r="E30" s="10"/>
    </row>
  </sheetData>
  <mergeCells count="10">
    <mergeCell ref="B2:E2"/>
    <mergeCell ref="B3:E3"/>
    <mergeCell ref="B5:E5"/>
    <mergeCell ref="B17:E17"/>
    <mergeCell ref="B19:E19"/>
    <mergeCell ref="B20:E20"/>
    <mergeCell ref="B26:E26"/>
    <mergeCell ref="B27:E27"/>
    <mergeCell ref="B28:E28"/>
    <mergeCell ref="B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10" min="3" style="0" width="15"/>
  </cols>
  <sheetData>
    <row r="2" customFormat="false" ht="30" hidden="false" customHeight="true" outlineLevel="0" collapsed="false">
      <c r="B2" s="1" t="s">
        <v>982</v>
      </c>
      <c r="C2" s="1"/>
      <c r="D2" s="1"/>
      <c r="E2" s="1"/>
      <c r="F2" s="1"/>
      <c r="G2" s="1"/>
      <c r="H2" s="1"/>
      <c r="I2" s="1"/>
      <c r="J2" s="1"/>
    </row>
    <row r="3" customFormat="false" ht="19.5" hidden="false" customHeight="true" outlineLevel="0" collapsed="false">
      <c r="B3" s="2" t="s">
        <v>983</v>
      </c>
      <c r="C3" s="2"/>
      <c r="D3" s="2"/>
      <c r="E3" s="2"/>
      <c r="F3" s="2"/>
      <c r="G3" s="2"/>
      <c r="H3" s="2"/>
      <c r="I3" s="2"/>
      <c r="J3" s="2"/>
    </row>
    <row r="4" customFormat="false" ht="6.75" hidden="false" customHeight="true" outlineLevel="0" collapsed="false"/>
    <row r="5" customFormat="false" ht="55.5" hidden="false" customHeight="true" outlineLevel="0" collapsed="false">
      <c r="B5" s="4" t="s">
        <v>984</v>
      </c>
      <c r="C5" s="4"/>
      <c r="D5" s="4"/>
      <c r="E5" s="4"/>
      <c r="F5" s="4"/>
      <c r="G5" s="4"/>
      <c r="H5" s="4"/>
      <c r="I5" s="4"/>
      <c r="J5" s="4"/>
    </row>
    <row r="6" customFormat="false" ht="6.75" hidden="false" customHeight="true" outlineLevel="0" collapsed="false"/>
    <row r="7" customFormat="false" ht="21.75" hidden="false" customHeight="true" outlineLevel="0" collapsed="false">
      <c r="B7" s="3" t="s">
        <v>985</v>
      </c>
      <c r="C7" s="3"/>
      <c r="D7" s="3"/>
      <c r="E7" s="3"/>
      <c r="F7" s="3"/>
      <c r="G7" s="3"/>
      <c r="H7" s="3"/>
      <c r="I7" s="3"/>
      <c r="J7" s="3"/>
    </row>
    <row r="8" customFormat="false" ht="30" hidden="false" customHeight="true" outlineLevel="0" collapsed="false">
      <c r="B8" s="11" t="s">
        <v>986</v>
      </c>
      <c r="C8" s="11" t="s">
        <v>987</v>
      </c>
      <c r="D8" s="11" t="s">
        <v>321</v>
      </c>
    </row>
    <row r="9" customFormat="false" ht="55.5" hidden="false" customHeight="true" outlineLevel="0" collapsed="false">
      <c r="B9" s="26" t="s">
        <v>988</v>
      </c>
      <c r="C9" s="13" t="s">
        <v>989</v>
      </c>
      <c r="D9" s="13" t="s">
        <v>990</v>
      </c>
    </row>
    <row r="10" customFormat="false" ht="55.5" hidden="false" customHeight="true" outlineLevel="0" collapsed="false">
      <c r="B10" s="26" t="s">
        <v>991</v>
      </c>
      <c r="C10" s="13" t="s">
        <v>992</v>
      </c>
      <c r="D10" s="13" t="s">
        <v>993</v>
      </c>
    </row>
    <row r="11" customFormat="false" ht="55.5" hidden="false" customHeight="true" outlineLevel="0" collapsed="false">
      <c r="B11" s="26" t="s">
        <v>994</v>
      </c>
      <c r="C11" s="13" t="s">
        <v>995</v>
      </c>
      <c r="D11" s="13" t="s">
        <v>996</v>
      </c>
    </row>
    <row r="12" customFormat="false" ht="55.5" hidden="false" customHeight="true" outlineLevel="0" collapsed="false">
      <c r="B12" s="26" t="s">
        <v>997</v>
      </c>
      <c r="C12" s="13" t="s">
        <v>998</v>
      </c>
      <c r="D12" s="13" t="s">
        <v>999</v>
      </c>
    </row>
    <row r="13" customFormat="false" ht="6.75" hidden="false" customHeight="true" outlineLevel="0" collapsed="false"/>
    <row r="14" customFormat="false" ht="21.75" hidden="false" customHeight="true" outlineLevel="0" collapsed="false">
      <c r="B14" s="3" t="s">
        <v>1000</v>
      </c>
      <c r="C14" s="3"/>
      <c r="D14" s="3"/>
      <c r="E14" s="3"/>
      <c r="F14" s="3"/>
      <c r="G14" s="3"/>
      <c r="H14" s="3"/>
      <c r="I14" s="3"/>
      <c r="J14" s="3"/>
    </row>
    <row r="15" customFormat="false" ht="30" hidden="false" customHeight="true" outlineLevel="0" collapsed="false">
      <c r="B15" s="11" t="s">
        <v>885</v>
      </c>
      <c r="C15" s="11" t="s">
        <v>1001</v>
      </c>
    </row>
    <row r="16" customFormat="false" ht="54" hidden="false" customHeight="true" outlineLevel="0" collapsed="false">
      <c r="B16" s="13" t="s">
        <v>1002</v>
      </c>
      <c r="C16" s="30" t="s">
        <v>1003</v>
      </c>
    </row>
    <row r="17" customFormat="false" ht="54" hidden="false" customHeight="true" outlineLevel="0" collapsed="false">
      <c r="B17" s="13" t="s">
        <v>1004</v>
      </c>
      <c r="C17" s="31" t="s">
        <v>1005</v>
      </c>
    </row>
    <row r="18" customFormat="false" ht="54" hidden="false" customHeight="true" outlineLevel="0" collapsed="false">
      <c r="B18" s="13" t="s">
        <v>1006</v>
      </c>
      <c r="C18" s="28" t="s">
        <v>1007</v>
      </c>
    </row>
    <row r="19" customFormat="false" ht="6.75" hidden="false" customHeight="true" outlineLevel="0" collapsed="false"/>
    <row r="20" customFormat="false" ht="21.75" hidden="false" customHeight="true" outlineLevel="0" collapsed="false">
      <c r="B20" s="3" t="s">
        <v>1008</v>
      </c>
      <c r="C20" s="3"/>
      <c r="D20" s="3"/>
      <c r="E20" s="3"/>
      <c r="F20" s="3"/>
      <c r="G20" s="3"/>
      <c r="H20" s="3"/>
      <c r="I20" s="3"/>
      <c r="J20" s="3"/>
    </row>
    <row r="21" customFormat="false" ht="30" hidden="false" customHeight="true" outlineLevel="0" collapsed="false">
      <c r="B21" s="11" t="s">
        <v>836</v>
      </c>
      <c r="C21" s="11" t="s">
        <v>1009</v>
      </c>
    </row>
    <row r="22" customFormat="false" ht="25.5" hidden="false" customHeight="true" outlineLevel="0" collapsed="false">
      <c r="B22" s="26" t="s">
        <v>1010</v>
      </c>
      <c r="C22" s="13" t="s">
        <v>1011</v>
      </c>
    </row>
    <row r="23" customFormat="false" ht="25.5" hidden="false" customHeight="true" outlineLevel="0" collapsed="false">
      <c r="B23" s="26" t="s">
        <v>1012</v>
      </c>
      <c r="C23" s="13" t="s">
        <v>1013</v>
      </c>
    </row>
    <row r="24" customFormat="false" ht="25.5" hidden="false" customHeight="true" outlineLevel="0" collapsed="false">
      <c r="B24" s="26" t="s">
        <v>1014</v>
      </c>
      <c r="C24" s="13" t="s">
        <v>1015</v>
      </c>
    </row>
    <row r="25" customFormat="false" ht="25.5" hidden="false" customHeight="true" outlineLevel="0" collapsed="false">
      <c r="B25" s="26" t="s">
        <v>1016</v>
      </c>
      <c r="C25" s="13" t="s">
        <v>1017</v>
      </c>
    </row>
    <row r="26" customFormat="false" ht="25.5" hidden="false" customHeight="true" outlineLevel="0" collapsed="false">
      <c r="B26" s="26" t="s">
        <v>1018</v>
      </c>
      <c r="C26" s="13" t="s">
        <v>1019</v>
      </c>
    </row>
    <row r="27" customFormat="false" ht="25.5" hidden="false" customHeight="true" outlineLevel="0" collapsed="false">
      <c r="B27" s="26" t="s">
        <v>1020</v>
      </c>
      <c r="C27" s="13" t="s">
        <v>1021</v>
      </c>
    </row>
    <row r="28" customFormat="false" ht="25.5" hidden="false" customHeight="true" outlineLevel="0" collapsed="false">
      <c r="B28" s="26" t="s">
        <v>1022</v>
      </c>
      <c r="C28" s="13" t="s">
        <v>1023</v>
      </c>
    </row>
    <row r="29" customFormat="false" ht="6.75" hidden="false" customHeight="true" outlineLevel="0" collapsed="false"/>
    <row r="30" customFormat="false" ht="57.75" hidden="false" customHeight="true" outlineLevel="0" collapsed="false">
      <c r="B30" s="29" t="s">
        <v>1024</v>
      </c>
      <c r="C30" s="29"/>
      <c r="D30" s="29"/>
      <c r="E30" s="29"/>
      <c r="F30" s="29"/>
      <c r="G30" s="29"/>
      <c r="H30" s="29"/>
      <c r="I30" s="29"/>
      <c r="J30" s="29"/>
    </row>
  </sheetData>
  <mergeCells count="7">
    <mergeCell ref="B2:J2"/>
    <mergeCell ref="B3:J3"/>
    <mergeCell ref="B5:J5"/>
    <mergeCell ref="B7:J7"/>
    <mergeCell ref="B14:J14"/>
    <mergeCell ref="B20:J20"/>
    <mergeCell ref="B30:J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B2: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34"/>
    <col collapsed="false" customWidth="true" hidden="false" outlineLevel="0" max="6" min="6" style="0" width="12"/>
  </cols>
  <sheetData>
    <row r="2" customFormat="false" ht="30" hidden="false" customHeight="true" outlineLevel="0" collapsed="false">
      <c r="B2" s="1" t="s">
        <v>1025</v>
      </c>
      <c r="C2" s="1"/>
      <c r="D2" s="1"/>
      <c r="E2" s="1"/>
      <c r="F2" s="1"/>
    </row>
    <row r="3" customFormat="false" ht="19.5" hidden="false" customHeight="true" outlineLevel="0" collapsed="false">
      <c r="B3" s="2" t="s">
        <v>1026</v>
      </c>
      <c r="C3" s="2"/>
      <c r="D3" s="2"/>
      <c r="E3" s="2"/>
      <c r="F3" s="2"/>
    </row>
    <row r="4" customFormat="false" ht="6.75" hidden="false" customHeight="true" outlineLevel="0" collapsed="false"/>
    <row r="5" customFormat="false" ht="42.75" hidden="false" customHeight="true" outlineLevel="0" collapsed="false">
      <c r="B5" s="4" t="s">
        <v>1027</v>
      </c>
      <c r="C5" s="4"/>
      <c r="D5" s="4"/>
      <c r="E5" s="4"/>
      <c r="F5" s="4"/>
    </row>
    <row r="6" customFormat="false" ht="6.75" hidden="false" customHeight="true" outlineLevel="0" collapsed="false"/>
    <row r="7" customFormat="false" ht="30" hidden="false" customHeight="true" outlineLevel="0" collapsed="false">
      <c r="B7" s="11" t="s">
        <v>1028</v>
      </c>
      <c r="C7" s="11" t="s">
        <v>1029</v>
      </c>
      <c r="D7" s="11" t="s">
        <v>1030</v>
      </c>
      <c r="E7" s="11" t="s">
        <v>321</v>
      </c>
      <c r="F7" s="11" t="s">
        <v>177</v>
      </c>
    </row>
    <row r="8" customFormat="false" ht="45.75" hidden="false" customHeight="true" outlineLevel="0" collapsed="false">
      <c r="B8" s="13" t="s">
        <v>1031</v>
      </c>
      <c r="C8" s="13" t="s">
        <v>1032</v>
      </c>
      <c r="D8" s="13" t="s">
        <v>1033</v>
      </c>
      <c r="E8" s="13" t="s">
        <v>1034</v>
      </c>
      <c r="F8" s="18" t="s">
        <v>1035</v>
      </c>
    </row>
    <row r="9" customFormat="false" ht="45.75" hidden="false" customHeight="true" outlineLevel="0" collapsed="false">
      <c r="B9" s="13" t="s">
        <v>1036</v>
      </c>
      <c r="C9" s="13" t="s">
        <v>1037</v>
      </c>
      <c r="D9" s="13" t="s">
        <v>1038</v>
      </c>
      <c r="E9" s="13" t="s">
        <v>1039</v>
      </c>
      <c r="F9" s="18" t="s">
        <v>1035</v>
      </c>
    </row>
    <row r="10" customFormat="false" ht="45.75" hidden="false" customHeight="true" outlineLevel="0" collapsed="false">
      <c r="B10" s="13" t="s">
        <v>1040</v>
      </c>
      <c r="C10" s="13" t="s">
        <v>1041</v>
      </c>
      <c r="D10" s="13" t="s">
        <v>1042</v>
      </c>
      <c r="E10" s="13" t="s">
        <v>1043</v>
      </c>
      <c r="F10" s="18" t="s">
        <v>1044</v>
      </c>
    </row>
    <row r="11" customFormat="false" ht="45.75" hidden="false" customHeight="true" outlineLevel="0" collapsed="false">
      <c r="B11" s="13" t="s">
        <v>1045</v>
      </c>
      <c r="C11" s="13" t="s">
        <v>1046</v>
      </c>
      <c r="D11" s="13" t="s">
        <v>1047</v>
      </c>
      <c r="E11" s="13" t="s">
        <v>1048</v>
      </c>
      <c r="F11" s="18" t="s">
        <v>1044</v>
      </c>
    </row>
    <row r="12" customFormat="false" ht="45.75" hidden="false" customHeight="true" outlineLevel="0" collapsed="false">
      <c r="B12" s="13" t="s">
        <v>1049</v>
      </c>
      <c r="C12" s="13" t="s">
        <v>1050</v>
      </c>
      <c r="D12" s="13" t="s">
        <v>1051</v>
      </c>
      <c r="E12" s="13" t="s">
        <v>1052</v>
      </c>
      <c r="F12" s="18" t="s">
        <v>1053</v>
      </c>
    </row>
    <row r="13" customFormat="false" ht="45.75" hidden="false" customHeight="true" outlineLevel="0" collapsed="false">
      <c r="B13" s="13" t="s">
        <v>1054</v>
      </c>
      <c r="C13" s="13" t="s">
        <v>1055</v>
      </c>
      <c r="D13" s="13" t="s">
        <v>1056</v>
      </c>
      <c r="E13" s="13" t="s">
        <v>1057</v>
      </c>
      <c r="F13" s="18" t="s">
        <v>198</v>
      </c>
    </row>
    <row r="14" customFormat="false" ht="45.75" hidden="false" customHeight="true" outlineLevel="0" collapsed="false">
      <c r="B14" s="13" t="s">
        <v>1058</v>
      </c>
      <c r="C14" s="13" t="s">
        <v>1059</v>
      </c>
      <c r="D14" s="13" t="s">
        <v>1060</v>
      </c>
      <c r="E14" s="13" t="s">
        <v>1061</v>
      </c>
      <c r="F14" s="18" t="s">
        <v>1062</v>
      </c>
    </row>
    <row r="15" customFormat="false" ht="45.75" hidden="false" customHeight="true" outlineLevel="0" collapsed="false">
      <c r="B15" s="13" t="s">
        <v>1063</v>
      </c>
      <c r="C15" s="13" t="s">
        <v>1064</v>
      </c>
      <c r="D15" s="13" t="s">
        <v>1065</v>
      </c>
      <c r="E15" s="13" t="s">
        <v>1066</v>
      </c>
      <c r="F15" s="18" t="s">
        <v>1067</v>
      </c>
    </row>
    <row r="16" customFormat="false" ht="45.75" hidden="false" customHeight="true" outlineLevel="0" collapsed="false">
      <c r="B16" s="13" t="s">
        <v>1068</v>
      </c>
      <c r="C16" s="13" t="s">
        <v>1069</v>
      </c>
      <c r="D16" s="13" t="s">
        <v>1070</v>
      </c>
      <c r="E16" s="13" t="s">
        <v>1071</v>
      </c>
      <c r="F16" s="18" t="s">
        <v>1067</v>
      </c>
    </row>
    <row r="17" customFormat="false" ht="45.75" hidden="false" customHeight="true" outlineLevel="0" collapsed="false">
      <c r="B17" s="13" t="s">
        <v>1072</v>
      </c>
      <c r="C17" s="13" t="s">
        <v>1073</v>
      </c>
      <c r="D17" s="13" t="s">
        <v>1074</v>
      </c>
      <c r="E17" s="13" t="s">
        <v>1075</v>
      </c>
      <c r="F17" s="18" t="s">
        <v>1076</v>
      </c>
    </row>
    <row r="18" customFormat="false" ht="45.75" hidden="false" customHeight="true" outlineLevel="0" collapsed="false">
      <c r="B18" s="13" t="s">
        <v>1077</v>
      </c>
      <c r="C18" s="13" t="s">
        <v>1078</v>
      </c>
      <c r="D18" s="13" t="s">
        <v>1079</v>
      </c>
      <c r="E18" s="13" t="s">
        <v>1080</v>
      </c>
      <c r="F18" s="18" t="s">
        <v>1081</v>
      </c>
    </row>
    <row r="19" customFormat="false" ht="6.75" hidden="false" customHeight="true" outlineLevel="0" collapsed="false"/>
    <row r="20" customFormat="false" ht="45" hidden="false" customHeight="true" outlineLevel="0" collapsed="false">
      <c r="B20" s="10" t="s">
        <v>1082</v>
      </c>
      <c r="C20" s="10"/>
      <c r="D20" s="10"/>
      <c r="E20" s="10"/>
      <c r="F20" s="10"/>
    </row>
  </sheetData>
  <mergeCells count="4">
    <mergeCell ref="B2:F2"/>
    <mergeCell ref="B3:F3"/>
    <mergeCell ref="B5:F5"/>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B2: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10" min="3" style="0" width="15"/>
  </cols>
  <sheetData>
    <row r="2" customFormat="false" ht="30" hidden="false" customHeight="true" outlineLevel="0" collapsed="false">
      <c r="B2" s="1" t="s">
        <v>1083</v>
      </c>
      <c r="C2" s="1"/>
      <c r="D2" s="1"/>
      <c r="E2" s="1"/>
      <c r="F2" s="1"/>
      <c r="G2" s="1"/>
      <c r="H2" s="1"/>
      <c r="I2" s="1"/>
      <c r="J2" s="1"/>
    </row>
    <row r="3" customFormat="false" ht="19.5" hidden="false" customHeight="true" outlineLevel="0" collapsed="false">
      <c r="B3" s="2" t="s">
        <v>1084</v>
      </c>
      <c r="C3" s="2"/>
      <c r="D3" s="2"/>
      <c r="E3" s="2"/>
      <c r="F3" s="2"/>
      <c r="G3" s="2"/>
      <c r="H3" s="2"/>
      <c r="I3" s="2"/>
      <c r="J3" s="2"/>
    </row>
    <row r="4" customFormat="false" ht="6.75" hidden="false" customHeight="true" outlineLevel="0" collapsed="false"/>
    <row r="5" customFormat="false" ht="21.75" hidden="false" customHeight="true" outlineLevel="0" collapsed="false">
      <c r="B5" s="3" t="s">
        <v>1085</v>
      </c>
      <c r="C5" s="3"/>
      <c r="D5" s="3"/>
      <c r="E5" s="3"/>
      <c r="F5" s="3"/>
      <c r="G5" s="3"/>
      <c r="H5" s="3"/>
      <c r="I5" s="3"/>
      <c r="J5" s="3"/>
    </row>
    <row r="6" customFormat="false" ht="55.5" hidden="false" customHeight="true" outlineLevel="0" collapsed="false">
      <c r="B6" s="4" t="s">
        <v>1086</v>
      </c>
      <c r="C6" s="4"/>
      <c r="D6" s="4"/>
      <c r="E6" s="4"/>
      <c r="F6" s="4"/>
      <c r="G6" s="4"/>
      <c r="H6" s="4"/>
      <c r="I6" s="4"/>
      <c r="J6" s="4"/>
    </row>
    <row r="7" customFormat="false" ht="30" hidden="false" customHeight="true" outlineLevel="0" collapsed="false">
      <c r="B7" s="11" t="s">
        <v>1087</v>
      </c>
      <c r="C7" s="11" t="s">
        <v>1088</v>
      </c>
    </row>
    <row r="8" customFormat="false" ht="43.5" hidden="false" customHeight="true" outlineLevel="0" collapsed="false">
      <c r="B8" s="26" t="s">
        <v>1089</v>
      </c>
      <c r="C8" s="28" t="s">
        <v>1090</v>
      </c>
    </row>
    <row r="9" customFormat="false" ht="43.5" hidden="false" customHeight="true" outlineLevel="0" collapsed="false">
      <c r="B9" s="26" t="s">
        <v>1091</v>
      </c>
      <c r="C9" s="28" t="s">
        <v>1092</v>
      </c>
    </row>
    <row r="10" customFormat="false" ht="6.75" hidden="false" customHeight="true" outlineLevel="0" collapsed="false"/>
    <row r="11" customFormat="false" ht="84" hidden="false" customHeight="true" outlineLevel="0" collapsed="false">
      <c r="B11" s="10" t="s">
        <v>1093</v>
      </c>
      <c r="C11" s="10"/>
      <c r="D11" s="10"/>
      <c r="E11" s="10"/>
      <c r="F11" s="10"/>
      <c r="G11" s="10"/>
      <c r="H11" s="10"/>
      <c r="I11" s="10"/>
      <c r="J11" s="10"/>
    </row>
    <row r="12" customFormat="false" ht="6.75" hidden="false" customHeight="true" outlineLevel="0" collapsed="false"/>
    <row r="13" customFormat="false" ht="21.75" hidden="false" customHeight="true" outlineLevel="0" collapsed="false">
      <c r="B13" s="3" t="s">
        <v>1094</v>
      </c>
      <c r="C13" s="3"/>
      <c r="D13" s="3"/>
      <c r="E13" s="3"/>
      <c r="F13" s="3"/>
      <c r="G13" s="3"/>
      <c r="H13" s="3"/>
      <c r="I13" s="3"/>
      <c r="J13" s="3"/>
    </row>
    <row r="14" customFormat="false" ht="30" hidden="false" customHeight="true" outlineLevel="0" collapsed="false">
      <c r="B14" s="11" t="s">
        <v>1095</v>
      </c>
      <c r="C14" s="11" t="s">
        <v>1096</v>
      </c>
      <c r="D14" s="11" t="s">
        <v>1097</v>
      </c>
      <c r="E14" s="11" t="s">
        <v>1096</v>
      </c>
    </row>
    <row r="15" customFormat="false" ht="48" hidden="false" customHeight="true" outlineLevel="0" collapsed="false">
      <c r="B15" s="33" t="s">
        <v>1035</v>
      </c>
      <c r="C15" s="13" t="s">
        <v>1098</v>
      </c>
      <c r="D15" s="27" t="s">
        <v>1099</v>
      </c>
      <c r="E15" s="13" t="s">
        <v>1100</v>
      </c>
    </row>
    <row r="16" customFormat="false" ht="48" hidden="false" customHeight="true" outlineLevel="0" collapsed="false">
      <c r="B16" s="33" t="s">
        <v>1101</v>
      </c>
      <c r="C16" s="13" t="s">
        <v>1102</v>
      </c>
      <c r="D16" s="27" t="s">
        <v>1103</v>
      </c>
      <c r="E16" s="13" t="s">
        <v>1104</v>
      </c>
    </row>
    <row r="17" customFormat="false" ht="48" hidden="false" customHeight="true" outlineLevel="0" collapsed="false">
      <c r="B17" s="33" t="s">
        <v>1105</v>
      </c>
      <c r="C17" s="13" t="s">
        <v>1106</v>
      </c>
      <c r="D17" s="27" t="s">
        <v>1107</v>
      </c>
      <c r="E17" s="13" t="s">
        <v>1108</v>
      </c>
    </row>
    <row r="18" customFormat="false" ht="48" hidden="false" customHeight="true" outlineLevel="0" collapsed="false">
      <c r="B18" s="33" t="s">
        <v>1109</v>
      </c>
      <c r="C18" s="13" t="s">
        <v>1110</v>
      </c>
      <c r="D18" s="27" t="s">
        <v>1111</v>
      </c>
      <c r="E18" s="13" t="s">
        <v>1112</v>
      </c>
    </row>
    <row r="19" customFormat="false" ht="48" hidden="false" customHeight="true" outlineLevel="0" collapsed="false">
      <c r="B19" s="33" t="s">
        <v>1113</v>
      </c>
      <c r="C19" s="13" t="s">
        <v>1114</v>
      </c>
      <c r="D19" s="27" t="s">
        <v>1115</v>
      </c>
      <c r="E19" s="13" t="s">
        <v>1116</v>
      </c>
    </row>
    <row r="20" customFormat="false" ht="6.75" hidden="false" customHeight="true" outlineLevel="0" collapsed="false"/>
    <row r="21" customFormat="false" ht="21.75" hidden="false" customHeight="true" outlineLevel="0" collapsed="false">
      <c r="B21" s="3" t="s">
        <v>1117</v>
      </c>
      <c r="C21" s="3"/>
      <c r="D21" s="3"/>
      <c r="E21" s="3"/>
      <c r="F21" s="3"/>
      <c r="G21" s="3"/>
      <c r="H21" s="3"/>
      <c r="I21" s="3"/>
      <c r="J21" s="3"/>
    </row>
    <row r="22" customFormat="false" ht="108" hidden="false" customHeight="true" outlineLevel="0" collapsed="false">
      <c r="B22" s="4" t="s">
        <v>1118</v>
      </c>
      <c r="C22" s="4"/>
      <c r="D22" s="4"/>
      <c r="E22" s="4"/>
      <c r="F22" s="4"/>
      <c r="G22" s="4"/>
      <c r="H22" s="4"/>
      <c r="I22" s="4"/>
      <c r="J22" s="4"/>
    </row>
    <row r="23" customFormat="false" ht="70.5" hidden="false" customHeight="true" outlineLevel="0" collapsed="false">
      <c r="B23" s="10" t="s">
        <v>1119</v>
      </c>
      <c r="C23" s="10"/>
      <c r="D23" s="10"/>
      <c r="E23" s="10"/>
      <c r="F23" s="10"/>
      <c r="G23" s="10"/>
      <c r="H23" s="10"/>
      <c r="I23" s="10"/>
      <c r="J23" s="10"/>
    </row>
    <row r="24" customFormat="false" ht="6.75" hidden="false" customHeight="true" outlineLevel="0" collapsed="false"/>
    <row r="25" customFormat="false" ht="21.75" hidden="false" customHeight="true" outlineLevel="0" collapsed="false">
      <c r="B25" s="3" t="s">
        <v>1120</v>
      </c>
      <c r="C25" s="3"/>
      <c r="D25" s="3"/>
      <c r="E25" s="3"/>
      <c r="F25" s="3"/>
      <c r="G25" s="3"/>
      <c r="H25" s="3"/>
      <c r="I25" s="3"/>
      <c r="J25" s="3"/>
    </row>
    <row r="26" customFormat="false" ht="30" hidden="false" customHeight="true" outlineLevel="0" collapsed="false">
      <c r="B26" s="11" t="s">
        <v>1121</v>
      </c>
      <c r="C26" s="11" t="s">
        <v>1122</v>
      </c>
    </row>
    <row r="27" customFormat="false" ht="43.5" hidden="false" customHeight="true" outlineLevel="0" collapsed="false">
      <c r="B27" s="26" t="s">
        <v>1123</v>
      </c>
      <c r="C27" s="13" t="s">
        <v>1124</v>
      </c>
    </row>
    <row r="28" customFormat="false" ht="43.5" hidden="false" customHeight="true" outlineLevel="0" collapsed="false">
      <c r="B28" s="26" t="s">
        <v>1125</v>
      </c>
      <c r="C28" s="13" t="s">
        <v>1126</v>
      </c>
    </row>
    <row r="29" customFormat="false" ht="43.5" hidden="false" customHeight="true" outlineLevel="0" collapsed="false">
      <c r="B29" s="26" t="s">
        <v>1127</v>
      </c>
      <c r="C29" s="13" t="s">
        <v>1128</v>
      </c>
    </row>
    <row r="30" customFormat="false" ht="43.5" hidden="false" customHeight="true" outlineLevel="0" collapsed="false">
      <c r="B30" s="26" t="s">
        <v>1129</v>
      </c>
      <c r="C30" s="13" t="s">
        <v>1130</v>
      </c>
    </row>
    <row r="31" customFormat="false" ht="43.5" hidden="false" customHeight="true" outlineLevel="0" collapsed="false">
      <c r="B31" s="26" t="s">
        <v>1131</v>
      </c>
      <c r="C31" s="13" t="s">
        <v>1132</v>
      </c>
    </row>
  </sheetData>
  <mergeCells count="10">
    <mergeCell ref="B2:J2"/>
    <mergeCell ref="B3:J3"/>
    <mergeCell ref="B5:J5"/>
    <mergeCell ref="B6:J6"/>
    <mergeCell ref="B11:J11"/>
    <mergeCell ref="B13:J13"/>
    <mergeCell ref="B21:J21"/>
    <mergeCell ref="B22:J22"/>
    <mergeCell ref="B23:J23"/>
    <mergeCell ref="B25:J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B2: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7"/>
    <col collapsed="false" customWidth="true" hidden="false" outlineLevel="0" max="4" min="4" style="0" width="9"/>
    <col collapsed="false" customWidth="true" hidden="false" outlineLevel="0" max="5" min="5" style="0" width="38"/>
    <col collapsed="false" customWidth="true" hidden="false" outlineLevel="0" max="6" min="6" style="0" width="9"/>
    <col collapsed="false" customWidth="true" hidden="false" outlineLevel="0" max="7" min="7" style="0" width="8"/>
    <col collapsed="false" customWidth="true" hidden="false" outlineLevel="0" max="8" min="8" style="0" width="76"/>
  </cols>
  <sheetData>
    <row r="2" customFormat="false" ht="30" hidden="false" customHeight="true" outlineLevel="0" collapsed="false">
      <c r="B2" s="1" t="s">
        <v>1133</v>
      </c>
      <c r="C2" s="1"/>
      <c r="D2" s="1"/>
      <c r="E2" s="1"/>
      <c r="F2" s="1"/>
      <c r="G2" s="1"/>
      <c r="H2" s="1"/>
    </row>
    <row r="3" customFormat="false" ht="19.5" hidden="false" customHeight="true" outlineLevel="0" collapsed="false">
      <c r="B3" s="2" t="s">
        <v>1134</v>
      </c>
      <c r="C3" s="2"/>
      <c r="D3" s="2"/>
      <c r="E3" s="2"/>
      <c r="F3" s="2"/>
      <c r="G3" s="2"/>
      <c r="H3" s="2"/>
    </row>
    <row r="4" customFormat="false" ht="6.75" hidden="false" customHeight="true" outlineLevel="0" collapsed="false"/>
    <row r="5" customFormat="false" ht="42.75" hidden="false" customHeight="true" outlineLevel="0" collapsed="false">
      <c r="B5" s="4" t="s">
        <v>1135</v>
      </c>
      <c r="C5" s="4"/>
      <c r="D5" s="4"/>
      <c r="E5" s="4"/>
      <c r="F5" s="4"/>
      <c r="G5" s="4"/>
      <c r="H5" s="4"/>
    </row>
    <row r="6" customFormat="false" ht="6.75" hidden="false" customHeight="true" outlineLevel="0" collapsed="false"/>
    <row r="7" customFormat="false" ht="21.75" hidden="false" customHeight="true" outlineLevel="0" collapsed="false">
      <c r="B7" s="3" t="s">
        <v>1136</v>
      </c>
      <c r="C7" s="3"/>
      <c r="D7" s="3"/>
      <c r="E7" s="3"/>
      <c r="F7" s="3"/>
      <c r="G7" s="3"/>
      <c r="H7" s="3"/>
    </row>
    <row r="8" customFormat="false" ht="30" hidden="false" customHeight="true" outlineLevel="0" collapsed="false">
      <c r="B8" s="4" t="s">
        <v>1137</v>
      </c>
      <c r="C8" s="4"/>
      <c r="D8" s="4"/>
      <c r="E8" s="4"/>
      <c r="F8" s="4"/>
      <c r="G8" s="4"/>
      <c r="H8" s="4"/>
    </row>
    <row r="9" customFormat="false" ht="247.5" hidden="false" customHeight="true" outlineLevel="0" collapsed="false">
      <c r="B9" s="72" t="s">
        <v>1138</v>
      </c>
      <c r="C9" s="72"/>
      <c r="D9" s="72"/>
      <c r="E9" s="72"/>
      <c r="F9" s="72"/>
      <c r="G9" s="72"/>
      <c r="H9" s="72"/>
    </row>
    <row r="10" customFormat="false" ht="6.75" hidden="false" customHeight="true" outlineLevel="0" collapsed="false"/>
    <row r="11" customFormat="false" ht="21.75" hidden="false" customHeight="true" outlineLevel="0" collapsed="false">
      <c r="B11" s="3" t="s">
        <v>1139</v>
      </c>
      <c r="C11" s="3"/>
      <c r="D11" s="3"/>
      <c r="E11" s="3"/>
      <c r="F11" s="3"/>
      <c r="G11" s="3"/>
      <c r="H11" s="3"/>
    </row>
    <row r="12" customFormat="false" ht="30" hidden="false" customHeight="true" outlineLevel="0" collapsed="false">
      <c r="B12" s="11" t="s">
        <v>1140</v>
      </c>
      <c r="C12" s="11" t="s">
        <v>1141</v>
      </c>
      <c r="D12" s="11" t="s">
        <v>253</v>
      </c>
      <c r="E12" s="11" t="s">
        <v>252</v>
      </c>
      <c r="F12" s="11" t="s">
        <v>1142</v>
      </c>
      <c r="G12" s="11" t="s">
        <v>250</v>
      </c>
      <c r="H12" s="11" t="s">
        <v>1143</v>
      </c>
    </row>
    <row r="13" customFormat="false" ht="19.5" hidden="false" customHeight="true" outlineLevel="0" collapsed="false">
      <c r="B13" s="26" t="s">
        <v>1144</v>
      </c>
      <c r="C13" s="32" t="n">
        <v>0</v>
      </c>
      <c r="D13" s="32" t="s">
        <v>1145</v>
      </c>
      <c r="E13" s="18" t="s">
        <v>1146</v>
      </c>
      <c r="F13" s="32" t="s">
        <v>1147</v>
      </c>
      <c r="G13" s="32"/>
      <c r="H13" s="13" t="s">
        <v>1148</v>
      </c>
    </row>
    <row r="14" customFormat="false" ht="19.5" hidden="false" customHeight="true" outlineLevel="0" collapsed="false">
      <c r="B14" s="18" t="s">
        <v>1149</v>
      </c>
      <c r="C14" s="32" t="n">
        <v>1</v>
      </c>
      <c r="D14" s="32" t="s">
        <v>1150</v>
      </c>
      <c r="E14" s="18" t="s">
        <v>1151</v>
      </c>
      <c r="F14" s="32" t="s">
        <v>1147</v>
      </c>
      <c r="G14" s="32"/>
      <c r="H14" s="13" t="s">
        <v>1152</v>
      </c>
    </row>
    <row r="15" customFormat="false" ht="27.75" hidden="false" customHeight="true" outlineLevel="0" collapsed="false">
      <c r="B15" s="18" t="s">
        <v>1153</v>
      </c>
      <c r="C15" s="32" t="n">
        <v>2</v>
      </c>
      <c r="D15" s="32" t="s">
        <v>259</v>
      </c>
      <c r="E15" s="18" t="s">
        <v>1154</v>
      </c>
      <c r="F15" s="32" t="s">
        <v>1155</v>
      </c>
      <c r="G15" s="32" t="s">
        <v>256</v>
      </c>
      <c r="H15" s="13" t="s">
        <v>1156</v>
      </c>
    </row>
    <row r="16" customFormat="false" ht="27.75" hidden="false" customHeight="true" outlineLevel="0" collapsed="false">
      <c r="B16" s="18" t="s">
        <v>1157</v>
      </c>
      <c r="C16" s="32" t="n">
        <v>2</v>
      </c>
      <c r="D16" s="32" t="s">
        <v>263</v>
      </c>
      <c r="E16" s="18" t="s">
        <v>1158</v>
      </c>
      <c r="F16" s="32" t="s">
        <v>1155</v>
      </c>
      <c r="G16" s="32" t="s">
        <v>261</v>
      </c>
      <c r="H16" s="13" t="s">
        <v>1159</v>
      </c>
    </row>
    <row r="17" customFormat="false" ht="27.75" hidden="false" customHeight="true" outlineLevel="0" collapsed="false">
      <c r="B17" s="18" t="s">
        <v>1160</v>
      </c>
      <c r="C17" s="32" t="n">
        <v>2</v>
      </c>
      <c r="D17" s="32" t="s">
        <v>267</v>
      </c>
      <c r="E17" s="18" t="s">
        <v>1161</v>
      </c>
      <c r="F17" s="32" t="s">
        <v>1155</v>
      </c>
      <c r="G17" s="32" t="s">
        <v>265</v>
      </c>
      <c r="H17" s="13" t="s">
        <v>1162</v>
      </c>
    </row>
    <row r="18" customFormat="false" ht="19.5" hidden="false" customHeight="true" outlineLevel="0" collapsed="false">
      <c r="B18" s="18" t="s">
        <v>1163</v>
      </c>
      <c r="C18" s="32" t="n">
        <v>1</v>
      </c>
      <c r="D18" s="32" t="s">
        <v>1164</v>
      </c>
      <c r="E18" s="18" t="s">
        <v>1165</v>
      </c>
      <c r="F18" s="32" t="s">
        <v>1147</v>
      </c>
      <c r="G18" s="32"/>
      <c r="H18" s="13" t="s">
        <v>1166</v>
      </c>
    </row>
    <row r="19" customFormat="false" ht="27.75" hidden="false" customHeight="true" outlineLevel="0" collapsed="false">
      <c r="B19" s="18" t="s">
        <v>1167</v>
      </c>
      <c r="C19" s="32" t="n">
        <v>2</v>
      </c>
      <c r="D19" s="32" t="s">
        <v>271</v>
      </c>
      <c r="E19" s="18" t="s">
        <v>1168</v>
      </c>
      <c r="F19" s="32" t="s">
        <v>1155</v>
      </c>
      <c r="G19" s="32" t="s">
        <v>269</v>
      </c>
      <c r="H19" s="13" t="s">
        <v>1169</v>
      </c>
    </row>
    <row r="20" customFormat="false" ht="27.75" hidden="false" customHeight="true" outlineLevel="0" collapsed="false">
      <c r="B20" s="18" t="s">
        <v>1170</v>
      </c>
      <c r="C20" s="32" t="n">
        <v>2</v>
      </c>
      <c r="D20" s="32" t="s">
        <v>275</v>
      </c>
      <c r="E20" s="18" t="s">
        <v>1171</v>
      </c>
      <c r="F20" s="32" t="s">
        <v>1155</v>
      </c>
      <c r="G20" s="32" t="s">
        <v>273</v>
      </c>
      <c r="H20" s="13" t="s">
        <v>1172</v>
      </c>
    </row>
    <row r="21" customFormat="false" ht="27.75" hidden="false" customHeight="true" outlineLevel="0" collapsed="false">
      <c r="B21" s="15" t="s">
        <v>1173</v>
      </c>
      <c r="C21" s="32" t="n">
        <v>2</v>
      </c>
      <c r="D21" s="32" t="s">
        <v>279</v>
      </c>
      <c r="E21" s="15" t="s">
        <v>1174</v>
      </c>
      <c r="F21" s="32" t="s">
        <v>1155</v>
      </c>
      <c r="G21" s="32" t="s">
        <v>277</v>
      </c>
      <c r="H21" s="13" t="s">
        <v>1175</v>
      </c>
    </row>
    <row r="22" customFormat="false" ht="19.5" hidden="false" customHeight="true" outlineLevel="0" collapsed="false">
      <c r="B22" s="18" t="s">
        <v>1176</v>
      </c>
      <c r="C22" s="32" t="n">
        <v>1</v>
      </c>
      <c r="D22" s="32" t="s">
        <v>1177</v>
      </c>
      <c r="E22" s="18" t="s">
        <v>1178</v>
      </c>
      <c r="F22" s="32" t="s">
        <v>1147</v>
      </c>
      <c r="G22" s="32"/>
      <c r="H22" s="13" t="s">
        <v>1179</v>
      </c>
    </row>
    <row r="23" customFormat="false" ht="27.75" hidden="false" customHeight="true" outlineLevel="0" collapsed="false">
      <c r="B23" s="18" t="s">
        <v>1180</v>
      </c>
      <c r="C23" s="32" t="n">
        <v>2</v>
      </c>
      <c r="D23" s="32" t="s">
        <v>283</v>
      </c>
      <c r="E23" s="18" t="s">
        <v>1181</v>
      </c>
      <c r="F23" s="32" t="s">
        <v>1155</v>
      </c>
      <c r="G23" s="32" t="s">
        <v>281</v>
      </c>
      <c r="H23" s="13" t="s">
        <v>1182</v>
      </c>
    </row>
    <row r="24" customFormat="false" ht="27.75" hidden="false" customHeight="true" outlineLevel="0" collapsed="false">
      <c r="B24" s="16" t="s">
        <v>1183</v>
      </c>
      <c r="C24" s="32" t="n">
        <v>2</v>
      </c>
      <c r="D24" s="32" t="s">
        <v>287</v>
      </c>
      <c r="E24" s="16" t="s">
        <v>1184</v>
      </c>
      <c r="F24" s="32" t="s">
        <v>1155</v>
      </c>
      <c r="G24" s="32" t="s">
        <v>285</v>
      </c>
      <c r="H24" s="13" t="s">
        <v>1185</v>
      </c>
    </row>
    <row r="25" customFormat="false" ht="19.5" hidden="false" customHeight="true" outlineLevel="0" collapsed="false">
      <c r="B25" s="26" t="s">
        <v>1186</v>
      </c>
      <c r="C25" s="32" t="n">
        <v>0</v>
      </c>
      <c r="D25" s="32" t="s">
        <v>1187</v>
      </c>
      <c r="E25" s="18" t="s">
        <v>1188</v>
      </c>
      <c r="F25" s="32" t="s">
        <v>1147</v>
      </c>
      <c r="G25" s="32"/>
      <c r="H25" s="13" t="s">
        <v>1189</v>
      </c>
    </row>
    <row r="26" customFormat="false" ht="19.5" hidden="false" customHeight="true" outlineLevel="0" collapsed="false">
      <c r="B26" s="18" t="s">
        <v>1190</v>
      </c>
      <c r="C26" s="32" t="n">
        <v>1</v>
      </c>
      <c r="D26" s="32" t="s">
        <v>1191</v>
      </c>
      <c r="E26" s="18" t="s">
        <v>1192</v>
      </c>
      <c r="F26" s="32" t="s">
        <v>1147</v>
      </c>
      <c r="G26" s="32"/>
      <c r="H26" s="13" t="s">
        <v>1193</v>
      </c>
    </row>
    <row r="27" customFormat="false" ht="27.75" hidden="false" customHeight="true" outlineLevel="0" collapsed="false">
      <c r="B27" s="18" t="s">
        <v>1194</v>
      </c>
      <c r="C27" s="32" t="n">
        <v>2</v>
      </c>
      <c r="D27" s="32" t="s">
        <v>292</v>
      </c>
      <c r="E27" s="18" t="s">
        <v>1195</v>
      </c>
      <c r="F27" s="32" t="s">
        <v>1155</v>
      </c>
      <c r="G27" s="32" t="s">
        <v>289</v>
      </c>
      <c r="H27" s="13" t="s">
        <v>1196</v>
      </c>
    </row>
    <row r="28" customFormat="false" ht="27.75" hidden="false" customHeight="true" outlineLevel="0" collapsed="false">
      <c r="B28" s="18" t="s">
        <v>1197</v>
      </c>
      <c r="C28" s="32" t="n">
        <v>2</v>
      </c>
      <c r="D28" s="32" t="s">
        <v>263</v>
      </c>
      <c r="E28" s="18" t="s">
        <v>1198</v>
      </c>
      <c r="F28" s="32" t="s">
        <v>1155</v>
      </c>
      <c r="G28" s="32" t="s">
        <v>294</v>
      </c>
      <c r="H28" s="13" t="s">
        <v>1199</v>
      </c>
    </row>
    <row r="29" customFormat="false" ht="19.5" hidden="false" customHeight="true" outlineLevel="0" collapsed="false">
      <c r="B29" s="18" t="s">
        <v>1200</v>
      </c>
      <c r="C29" s="32" t="n">
        <v>1</v>
      </c>
      <c r="D29" s="32" t="s">
        <v>1201</v>
      </c>
      <c r="E29" s="18" t="s">
        <v>1202</v>
      </c>
      <c r="F29" s="32" t="s">
        <v>1147</v>
      </c>
      <c r="G29" s="32"/>
      <c r="H29" s="13" t="s">
        <v>1203</v>
      </c>
    </row>
    <row r="30" customFormat="false" ht="27.75" hidden="false" customHeight="true" outlineLevel="0" collapsed="false">
      <c r="B30" s="18" t="s">
        <v>1204</v>
      </c>
      <c r="C30" s="32" t="n">
        <v>2</v>
      </c>
      <c r="D30" s="32" t="s">
        <v>299</v>
      </c>
      <c r="E30" s="18" t="s">
        <v>1205</v>
      </c>
      <c r="F30" s="32" t="s">
        <v>1155</v>
      </c>
      <c r="G30" s="32" t="s">
        <v>297</v>
      </c>
      <c r="H30" s="13" t="s">
        <v>1206</v>
      </c>
    </row>
    <row r="31" customFormat="false" ht="27.75" hidden="false" customHeight="true" outlineLevel="0" collapsed="false">
      <c r="B31" s="18" t="s">
        <v>1207</v>
      </c>
      <c r="C31" s="32" t="n">
        <v>2</v>
      </c>
      <c r="D31" s="32" t="s">
        <v>303</v>
      </c>
      <c r="E31" s="18" t="s">
        <v>1208</v>
      </c>
      <c r="F31" s="32" t="s">
        <v>1155</v>
      </c>
      <c r="G31" s="32" t="s">
        <v>301</v>
      </c>
      <c r="H31" s="13" t="s">
        <v>1209</v>
      </c>
    </row>
    <row r="32" customFormat="false" ht="19.5" hidden="false" customHeight="true" outlineLevel="0" collapsed="false">
      <c r="B32" s="18" t="s">
        <v>1210</v>
      </c>
      <c r="C32" s="32" t="n">
        <v>1</v>
      </c>
      <c r="D32" s="32" t="s">
        <v>1211</v>
      </c>
      <c r="E32" s="18" t="s">
        <v>1212</v>
      </c>
      <c r="F32" s="32" t="s">
        <v>1147</v>
      </c>
      <c r="G32" s="32"/>
      <c r="H32" s="13" t="s">
        <v>1213</v>
      </c>
    </row>
    <row r="33" customFormat="false" ht="27.75" hidden="false" customHeight="true" outlineLevel="0" collapsed="false">
      <c r="B33" s="18" t="s">
        <v>1214</v>
      </c>
      <c r="C33" s="32" t="n">
        <v>2</v>
      </c>
      <c r="D33" s="32" t="s">
        <v>307</v>
      </c>
      <c r="E33" s="18" t="s">
        <v>1215</v>
      </c>
      <c r="F33" s="32" t="s">
        <v>1155</v>
      </c>
      <c r="G33" s="32" t="s">
        <v>305</v>
      </c>
      <c r="H33" s="13" t="s">
        <v>1216</v>
      </c>
    </row>
    <row r="34" customFormat="false" ht="27.75" hidden="false" customHeight="true" outlineLevel="0" collapsed="false">
      <c r="B34" s="18" t="s">
        <v>1217</v>
      </c>
      <c r="C34" s="32" t="n">
        <v>2</v>
      </c>
      <c r="D34" s="32" t="s">
        <v>275</v>
      </c>
      <c r="E34" s="18" t="s">
        <v>1218</v>
      </c>
      <c r="F34" s="32" t="s">
        <v>1155</v>
      </c>
      <c r="G34" s="32" t="s">
        <v>309</v>
      </c>
      <c r="H34" s="13" t="s">
        <v>1219</v>
      </c>
    </row>
    <row r="35" customFormat="false" ht="6.75" hidden="false" customHeight="true" outlineLevel="0" collapsed="false"/>
    <row r="36" customFormat="false" ht="45" hidden="false" customHeight="true" outlineLevel="0" collapsed="false">
      <c r="B36" s="68" t="s">
        <v>1220</v>
      </c>
      <c r="C36" s="68"/>
      <c r="D36" s="68"/>
      <c r="E36" s="68"/>
      <c r="F36" s="68"/>
      <c r="G36" s="68"/>
      <c r="H36" s="68"/>
    </row>
    <row r="37" customFormat="false" ht="6.75" hidden="false" customHeight="true" outlineLevel="0" collapsed="false"/>
    <row r="38" customFormat="false" ht="21.75" hidden="false" customHeight="true" outlineLevel="0" collapsed="false">
      <c r="B38" s="3" t="s">
        <v>1221</v>
      </c>
      <c r="C38" s="3"/>
      <c r="D38" s="3"/>
      <c r="E38" s="3"/>
      <c r="F38" s="3"/>
      <c r="G38" s="3"/>
      <c r="H38" s="3"/>
    </row>
    <row r="39" customFormat="false" ht="30" hidden="false" customHeight="true" outlineLevel="0" collapsed="false">
      <c r="B39" s="11" t="s">
        <v>1222</v>
      </c>
      <c r="C39" s="11" t="s">
        <v>124</v>
      </c>
    </row>
    <row r="40" customFormat="false" ht="33.75" hidden="false" customHeight="true" outlineLevel="0" collapsed="false">
      <c r="B40" s="26" t="s">
        <v>1223</v>
      </c>
      <c r="C40" s="13" t="s">
        <v>1224</v>
      </c>
    </row>
    <row r="41" customFormat="false" ht="33.75" hidden="false" customHeight="true" outlineLevel="0" collapsed="false">
      <c r="B41" s="26" t="s">
        <v>1225</v>
      </c>
      <c r="C41" s="13" t="s">
        <v>1226</v>
      </c>
    </row>
    <row r="42" customFormat="false" ht="33.75" hidden="false" customHeight="true" outlineLevel="0" collapsed="false">
      <c r="B42" s="26" t="s">
        <v>1227</v>
      </c>
      <c r="C42" s="13" t="s">
        <v>1228</v>
      </c>
    </row>
    <row r="43" customFormat="false" ht="33.75" hidden="false" customHeight="true" outlineLevel="0" collapsed="false">
      <c r="B43" s="26" t="s">
        <v>1229</v>
      </c>
      <c r="C43" s="13" t="s">
        <v>1230</v>
      </c>
    </row>
    <row r="44" customFormat="false" ht="33.75" hidden="false" customHeight="true" outlineLevel="0" collapsed="false">
      <c r="B44" s="26" t="s">
        <v>1231</v>
      </c>
      <c r="C44" s="13" t="s">
        <v>1232</v>
      </c>
    </row>
    <row r="45" customFormat="false" ht="6.75" hidden="false" customHeight="true" outlineLevel="0" collapsed="false"/>
    <row r="46" customFormat="false" ht="21.75" hidden="false" customHeight="true" outlineLevel="0" collapsed="false">
      <c r="B46" s="3" t="s">
        <v>1233</v>
      </c>
      <c r="C46" s="3"/>
      <c r="D46" s="3"/>
      <c r="E46" s="3"/>
      <c r="F46" s="3"/>
      <c r="G46" s="3"/>
      <c r="H46" s="3"/>
    </row>
    <row r="47" customFormat="false" ht="42.75" hidden="false" customHeight="true" outlineLevel="0" collapsed="false">
      <c r="B47" s="4" t="s">
        <v>1234</v>
      </c>
      <c r="C47" s="4"/>
      <c r="D47" s="4"/>
      <c r="E47" s="4"/>
      <c r="F47" s="4"/>
      <c r="G47" s="4"/>
      <c r="H47" s="4"/>
    </row>
    <row r="48" customFormat="false" ht="30" hidden="false" customHeight="true" outlineLevel="0" collapsed="false">
      <c r="B48" s="11" t="s">
        <v>1235</v>
      </c>
      <c r="C48" s="11" t="s">
        <v>1236</v>
      </c>
      <c r="D48" s="11" t="s">
        <v>1009</v>
      </c>
    </row>
    <row r="49" customFormat="false" ht="61.5" hidden="false" customHeight="true" outlineLevel="0" collapsed="false">
      <c r="B49" s="30" t="s">
        <v>1237</v>
      </c>
      <c r="C49" s="31" t="s">
        <v>1238</v>
      </c>
      <c r="D49" s="13" t="s">
        <v>1239</v>
      </c>
    </row>
    <row r="50" customFormat="false" ht="45" hidden="false" customHeight="true" outlineLevel="0" collapsed="false">
      <c r="B50" s="10" t="s">
        <v>1240</v>
      </c>
      <c r="C50" s="10"/>
      <c r="D50" s="10"/>
      <c r="E50" s="10"/>
      <c r="F50" s="10"/>
      <c r="G50" s="10"/>
      <c r="H50" s="10"/>
    </row>
  </sheetData>
  <mergeCells count="12">
    <mergeCell ref="B2:H2"/>
    <mergeCell ref="B3:H3"/>
    <mergeCell ref="B5:H5"/>
    <mergeCell ref="B7:H7"/>
    <mergeCell ref="B8:H8"/>
    <mergeCell ref="B9:H9"/>
    <mergeCell ref="B11:H11"/>
    <mergeCell ref="B36:H36"/>
    <mergeCell ref="B38:H38"/>
    <mergeCell ref="B46:H46"/>
    <mergeCell ref="B47:H47"/>
    <mergeCell ref="B50:H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B2: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
    <col collapsed="false" customWidth="true" hidden="false" outlineLevel="0" max="3" min="3" style="0" width="15"/>
    <col collapsed="false" customWidth="true" hidden="false" outlineLevel="0" max="4" min="4" style="0" width="40"/>
    <col collapsed="false" customWidth="true" hidden="false" outlineLevel="0" max="5" min="5" style="0" width="52"/>
    <col collapsed="false" customWidth="true" hidden="false" outlineLevel="0" max="6" min="6" style="0" width="13"/>
    <col collapsed="false" customWidth="true" hidden="false" outlineLevel="0" max="7" min="7" style="0" width="40"/>
  </cols>
  <sheetData>
    <row r="2" customFormat="false" ht="30" hidden="false" customHeight="true" outlineLevel="0" collapsed="false">
      <c r="B2" s="1" t="s">
        <v>1241</v>
      </c>
      <c r="C2" s="1"/>
      <c r="D2" s="1"/>
      <c r="E2" s="1"/>
      <c r="F2" s="1"/>
      <c r="G2" s="1"/>
    </row>
    <row r="3" customFormat="false" ht="19.5" hidden="false" customHeight="true" outlineLevel="0" collapsed="false">
      <c r="B3" s="2" t="s">
        <v>1242</v>
      </c>
      <c r="C3" s="2"/>
      <c r="D3" s="2"/>
      <c r="E3" s="2"/>
      <c r="F3" s="2"/>
      <c r="G3" s="2"/>
    </row>
    <row r="4" customFormat="false" ht="6.75" hidden="false" customHeight="true" outlineLevel="0" collapsed="false"/>
    <row r="5" customFormat="false" ht="30" hidden="false" customHeight="true" outlineLevel="0" collapsed="false">
      <c r="B5" s="4" t="s">
        <v>1243</v>
      </c>
      <c r="C5" s="4"/>
      <c r="D5" s="4"/>
      <c r="E5" s="4"/>
      <c r="F5" s="4"/>
      <c r="G5" s="4"/>
    </row>
    <row r="6" customFormat="false" ht="6.75" hidden="false" customHeight="true" outlineLevel="0" collapsed="false"/>
    <row r="7" customFormat="false" ht="21.75" hidden="false" customHeight="true" outlineLevel="0" collapsed="false">
      <c r="B7" s="3" t="s">
        <v>1244</v>
      </c>
      <c r="C7" s="3"/>
      <c r="D7" s="3"/>
      <c r="E7" s="3"/>
      <c r="F7" s="3"/>
      <c r="G7" s="3"/>
    </row>
    <row r="8" customFormat="false" ht="223.5" hidden="false" customHeight="true" outlineLevel="0" collapsed="false">
      <c r="B8" s="72" t="s">
        <v>1245</v>
      </c>
      <c r="C8" s="72"/>
      <c r="D8" s="72"/>
      <c r="E8" s="72"/>
      <c r="F8" s="72"/>
      <c r="G8" s="72"/>
    </row>
    <row r="9" customFormat="false" ht="6.75" hidden="false" customHeight="true" outlineLevel="0" collapsed="false"/>
    <row r="10" customFormat="false" ht="21.75" hidden="false" customHeight="true" outlineLevel="0" collapsed="false">
      <c r="B10" s="3" t="s">
        <v>1246</v>
      </c>
      <c r="C10" s="3"/>
      <c r="D10" s="3"/>
      <c r="E10" s="3"/>
      <c r="F10" s="3"/>
      <c r="G10" s="3"/>
    </row>
    <row r="11" customFormat="false" ht="30" hidden="false" customHeight="true" outlineLevel="0" collapsed="false">
      <c r="B11" s="11" t="s">
        <v>1247</v>
      </c>
      <c r="C11" s="11" t="s">
        <v>1248</v>
      </c>
      <c r="D11" s="11" t="s">
        <v>1249</v>
      </c>
      <c r="E11" s="11" t="s">
        <v>1250</v>
      </c>
      <c r="F11" s="11" t="s">
        <v>1251</v>
      </c>
      <c r="G11" s="11" t="s">
        <v>1252</v>
      </c>
    </row>
    <row r="12" customFormat="false" ht="75.75" hidden="false" customHeight="true" outlineLevel="0" collapsed="false">
      <c r="B12" s="26" t="s">
        <v>1253</v>
      </c>
      <c r="C12" s="18" t="s">
        <v>1254</v>
      </c>
      <c r="D12" s="13" t="s">
        <v>1255</v>
      </c>
      <c r="E12" s="13" t="s">
        <v>1256</v>
      </c>
      <c r="F12" s="26" t="s">
        <v>1257</v>
      </c>
      <c r="G12" s="13" t="s">
        <v>1258</v>
      </c>
    </row>
    <row r="13" customFormat="false" ht="75.75" hidden="false" customHeight="true" outlineLevel="0" collapsed="false">
      <c r="B13" s="26" t="s">
        <v>179</v>
      </c>
      <c r="C13" s="18" t="s">
        <v>1259</v>
      </c>
      <c r="D13" s="13" t="s">
        <v>1260</v>
      </c>
      <c r="E13" s="13" t="s">
        <v>1261</v>
      </c>
      <c r="F13" s="26" t="s">
        <v>1262</v>
      </c>
      <c r="G13" s="13" t="s">
        <v>1263</v>
      </c>
    </row>
    <row r="14" customFormat="false" ht="75.75" hidden="false" customHeight="true" outlineLevel="0" collapsed="false">
      <c r="B14" s="26" t="s">
        <v>1264</v>
      </c>
      <c r="C14" s="18" t="s">
        <v>1265</v>
      </c>
      <c r="D14" s="13" t="s">
        <v>1266</v>
      </c>
      <c r="E14" s="13" t="s">
        <v>1267</v>
      </c>
      <c r="F14" s="26" t="s">
        <v>1268</v>
      </c>
      <c r="G14" s="13" t="s">
        <v>1269</v>
      </c>
    </row>
    <row r="15" customFormat="false" ht="75.75" hidden="false" customHeight="true" outlineLevel="0" collapsed="false">
      <c r="B15" s="26" t="s">
        <v>1270</v>
      </c>
      <c r="C15" s="18" t="s">
        <v>1271</v>
      </c>
      <c r="D15" s="13" t="s">
        <v>1272</v>
      </c>
      <c r="E15" s="13" t="s">
        <v>1273</v>
      </c>
      <c r="F15" s="27" t="s">
        <v>1274</v>
      </c>
      <c r="G15" s="13" t="s">
        <v>1275</v>
      </c>
    </row>
    <row r="16" customFormat="false" ht="75.75" hidden="false" customHeight="true" outlineLevel="0" collapsed="false">
      <c r="B16" s="26" t="s">
        <v>191</v>
      </c>
      <c r="C16" s="18" t="s">
        <v>1276</v>
      </c>
      <c r="D16" s="13" t="s">
        <v>1277</v>
      </c>
      <c r="E16" s="13" t="s">
        <v>1278</v>
      </c>
      <c r="F16" s="33" t="s">
        <v>1279</v>
      </c>
      <c r="G16" s="13" t="s">
        <v>1280</v>
      </c>
    </row>
    <row r="17" customFormat="false" ht="6.75" hidden="false" customHeight="true" outlineLevel="0" collapsed="false"/>
    <row r="18" customFormat="false" ht="21.75" hidden="false" customHeight="true" outlineLevel="0" collapsed="false">
      <c r="B18" s="3" t="s">
        <v>1281</v>
      </c>
      <c r="C18" s="3"/>
      <c r="D18" s="3"/>
      <c r="E18" s="3"/>
      <c r="F18" s="3"/>
      <c r="G18" s="3"/>
    </row>
    <row r="19" customFormat="false" ht="199.5" hidden="false" customHeight="true" outlineLevel="0" collapsed="false">
      <c r="B19" s="72" t="s">
        <v>1282</v>
      </c>
      <c r="C19" s="72"/>
      <c r="D19" s="72"/>
      <c r="E19" s="72"/>
      <c r="F19" s="72"/>
      <c r="G19" s="72"/>
    </row>
    <row r="20" customFormat="false" ht="6.75" hidden="false" customHeight="true" outlineLevel="0" collapsed="false"/>
    <row r="21" customFormat="false" ht="57.75" hidden="false" customHeight="true" outlineLevel="0" collapsed="false">
      <c r="B21" s="10" t="s">
        <v>1283</v>
      </c>
      <c r="C21" s="10"/>
      <c r="D21" s="10"/>
      <c r="E21" s="10"/>
      <c r="F21" s="10"/>
      <c r="G21" s="10"/>
    </row>
    <row r="22" customFormat="false" ht="6.75" hidden="false" customHeight="true" outlineLevel="0" collapsed="false"/>
    <row r="23" customFormat="false" ht="21.75" hidden="false" customHeight="true" outlineLevel="0" collapsed="false">
      <c r="B23" s="3" t="s">
        <v>1284</v>
      </c>
      <c r="C23" s="3"/>
      <c r="D23" s="3"/>
      <c r="E23" s="3"/>
      <c r="F23" s="3"/>
      <c r="G23" s="3"/>
    </row>
    <row r="24" customFormat="false" ht="30" hidden="false" customHeight="true" outlineLevel="0" collapsed="false">
      <c r="B24" s="11" t="s">
        <v>1285</v>
      </c>
      <c r="C24" s="11" t="s">
        <v>125</v>
      </c>
      <c r="D24" s="11" t="s">
        <v>968</v>
      </c>
    </row>
    <row r="25" customFormat="false" ht="36" hidden="false" customHeight="true" outlineLevel="0" collapsed="false">
      <c r="B25" s="26" t="s">
        <v>1286</v>
      </c>
      <c r="C25" s="13" t="s">
        <v>1287</v>
      </c>
      <c r="D25" s="13" t="s">
        <v>1288</v>
      </c>
    </row>
    <row r="26" customFormat="false" ht="36" hidden="false" customHeight="true" outlineLevel="0" collapsed="false">
      <c r="B26" s="26" t="s">
        <v>1289</v>
      </c>
      <c r="C26" s="13" t="s">
        <v>1290</v>
      </c>
      <c r="D26" s="13" t="s">
        <v>1291</v>
      </c>
    </row>
    <row r="27" customFormat="false" ht="36" hidden="false" customHeight="true" outlineLevel="0" collapsed="false">
      <c r="B27" s="26" t="s">
        <v>1292</v>
      </c>
      <c r="C27" s="13" t="s">
        <v>1293</v>
      </c>
      <c r="D27" s="13" t="s">
        <v>1294</v>
      </c>
    </row>
    <row r="28" customFormat="false" ht="36" hidden="false" customHeight="true" outlineLevel="0" collapsed="false">
      <c r="B28" s="26" t="s">
        <v>1295</v>
      </c>
      <c r="C28" s="13" t="s">
        <v>1296</v>
      </c>
      <c r="D28" s="13" t="s">
        <v>1297</v>
      </c>
    </row>
    <row r="29" customFormat="false" ht="45" hidden="false" customHeight="true" outlineLevel="0" collapsed="false">
      <c r="B29" s="29" t="s">
        <v>1298</v>
      </c>
      <c r="C29" s="29"/>
      <c r="D29" s="29"/>
      <c r="E29" s="29"/>
      <c r="F29" s="29"/>
      <c r="G29" s="29"/>
    </row>
  </sheetData>
  <mergeCells count="11">
    <mergeCell ref="B2:G2"/>
    <mergeCell ref="B3:G3"/>
    <mergeCell ref="B5:G5"/>
    <mergeCell ref="B7:G7"/>
    <mergeCell ref="B8:G8"/>
    <mergeCell ref="B10:G10"/>
    <mergeCell ref="B18:G18"/>
    <mergeCell ref="B19:G19"/>
    <mergeCell ref="B21:G21"/>
    <mergeCell ref="B23:G23"/>
    <mergeCell ref="B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B2: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
    <col collapsed="false" customWidth="true" hidden="false" outlineLevel="0" max="3" min="3" style="0" width="16"/>
    <col collapsed="false" customWidth="true" hidden="false" outlineLevel="0" max="4" min="4" style="0" width="46"/>
    <col collapsed="false" customWidth="true" hidden="false" outlineLevel="0" max="5" min="5" style="0" width="52"/>
    <col collapsed="false" customWidth="true" hidden="false" outlineLevel="0" max="6" min="6" style="0" width="13"/>
    <col collapsed="false" customWidth="true" hidden="false" outlineLevel="0" max="7" min="7" style="0" width="38"/>
  </cols>
  <sheetData>
    <row r="2" customFormat="false" ht="30" hidden="false" customHeight="true" outlineLevel="0" collapsed="false">
      <c r="B2" s="1" t="s">
        <v>1299</v>
      </c>
      <c r="C2" s="1"/>
      <c r="D2" s="1"/>
      <c r="E2" s="1"/>
      <c r="F2" s="1"/>
      <c r="G2" s="1"/>
    </row>
    <row r="3" customFormat="false" ht="19.5" hidden="false" customHeight="true" outlineLevel="0" collapsed="false">
      <c r="B3" s="2" t="s">
        <v>1300</v>
      </c>
      <c r="C3" s="2"/>
      <c r="D3" s="2"/>
      <c r="E3" s="2"/>
      <c r="F3" s="2"/>
      <c r="G3" s="2"/>
    </row>
    <row r="4" customFormat="false" ht="6.75" hidden="false" customHeight="true" outlineLevel="0" collapsed="false"/>
    <row r="5" customFormat="false" ht="30" hidden="false" customHeight="true" outlineLevel="0" collapsed="false">
      <c r="B5" s="4" t="s">
        <v>1301</v>
      </c>
      <c r="C5" s="4"/>
      <c r="D5" s="4"/>
      <c r="E5" s="4"/>
      <c r="F5" s="4"/>
      <c r="G5" s="4"/>
    </row>
    <row r="6" customFormat="false" ht="6.75" hidden="false" customHeight="true" outlineLevel="0" collapsed="false"/>
    <row r="7" customFormat="false" ht="21.75" hidden="false" customHeight="true" outlineLevel="0" collapsed="false">
      <c r="B7" s="3" t="s">
        <v>1302</v>
      </c>
      <c r="C7" s="3"/>
      <c r="D7" s="3"/>
      <c r="E7" s="3"/>
      <c r="F7" s="3"/>
      <c r="G7" s="3"/>
    </row>
    <row r="8" customFormat="false" ht="42.75" hidden="false" customHeight="true" outlineLevel="0" collapsed="false">
      <c r="B8" s="4" t="s">
        <v>1303</v>
      </c>
      <c r="C8" s="4"/>
      <c r="D8" s="4"/>
      <c r="E8" s="4"/>
      <c r="F8" s="4"/>
      <c r="G8" s="4"/>
    </row>
    <row r="9" customFormat="false" ht="6.75" hidden="false" customHeight="true" outlineLevel="0" collapsed="false"/>
    <row r="10" customFormat="false" ht="21.75" hidden="false" customHeight="true" outlineLevel="0" collapsed="false">
      <c r="B10" s="3" t="s">
        <v>1304</v>
      </c>
      <c r="C10" s="3"/>
      <c r="D10" s="3"/>
      <c r="E10" s="3"/>
      <c r="F10" s="3"/>
      <c r="G10" s="3"/>
    </row>
    <row r="11" customFormat="false" ht="30" hidden="false" customHeight="true" outlineLevel="0" collapsed="false">
      <c r="B11" s="11" t="s">
        <v>1247</v>
      </c>
      <c r="C11" s="11" t="s">
        <v>1248</v>
      </c>
      <c r="D11" s="11" t="s">
        <v>1305</v>
      </c>
      <c r="E11" s="11" t="s">
        <v>1306</v>
      </c>
      <c r="F11" s="11" t="s">
        <v>1251</v>
      </c>
      <c r="G11" s="11" t="s">
        <v>945</v>
      </c>
    </row>
    <row r="12" customFormat="false" ht="72" hidden="false" customHeight="true" outlineLevel="0" collapsed="false">
      <c r="B12" s="26" t="s">
        <v>1253</v>
      </c>
      <c r="C12" s="18" t="s">
        <v>1307</v>
      </c>
      <c r="D12" s="13" t="s">
        <v>1255</v>
      </c>
      <c r="E12" s="13" t="s">
        <v>1308</v>
      </c>
      <c r="F12" s="26" t="s">
        <v>1309</v>
      </c>
      <c r="G12" s="13" t="s">
        <v>1310</v>
      </c>
    </row>
    <row r="13" customFormat="false" ht="72" hidden="false" customHeight="true" outlineLevel="0" collapsed="false">
      <c r="B13" s="26" t="s">
        <v>179</v>
      </c>
      <c r="C13" s="18" t="s">
        <v>1311</v>
      </c>
      <c r="D13" s="13" t="s">
        <v>1312</v>
      </c>
      <c r="E13" s="13" t="s">
        <v>1313</v>
      </c>
      <c r="F13" s="26" t="s">
        <v>1314</v>
      </c>
      <c r="G13" s="13" t="s">
        <v>1315</v>
      </c>
    </row>
    <row r="14" customFormat="false" ht="72" hidden="false" customHeight="true" outlineLevel="0" collapsed="false">
      <c r="B14" s="26" t="s">
        <v>1264</v>
      </c>
      <c r="C14" s="18" t="s">
        <v>1316</v>
      </c>
      <c r="D14" s="13" t="s">
        <v>1317</v>
      </c>
      <c r="E14" s="13" t="s">
        <v>1318</v>
      </c>
      <c r="F14" s="33" t="s">
        <v>1319</v>
      </c>
      <c r="G14" s="13" t="s">
        <v>1320</v>
      </c>
    </row>
    <row r="15" customFormat="false" ht="72" hidden="false" customHeight="true" outlineLevel="0" collapsed="false">
      <c r="B15" s="26" t="s">
        <v>1270</v>
      </c>
      <c r="C15" s="18" t="s">
        <v>1321</v>
      </c>
      <c r="D15" s="13" t="s">
        <v>1322</v>
      </c>
      <c r="E15" s="13" t="s">
        <v>1323</v>
      </c>
      <c r="F15" s="27" t="s">
        <v>1324</v>
      </c>
      <c r="G15" s="13" t="s">
        <v>1325</v>
      </c>
    </row>
    <row r="16" customFormat="false" ht="6.75" hidden="false" customHeight="true" outlineLevel="0" collapsed="false"/>
    <row r="17" customFormat="false" ht="30" hidden="false" customHeight="true" outlineLevel="0" collapsed="false">
      <c r="B17" s="11" t="s">
        <v>1326</v>
      </c>
      <c r="C17" s="11" t="s">
        <v>1327</v>
      </c>
      <c r="D17" s="11" t="s">
        <v>1328</v>
      </c>
    </row>
    <row r="18" customFormat="false" ht="39.75" hidden="false" customHeight="true" outlineLevel="0" collapsed="false">
      <c r="B18" s="18" t="s">
        <v>1329</v>
      </c>
      <c r="C18" s="13" t="s">
        <v>1330</v>
      </c>
      <c r="D18" s="30" t="s">
        <v>1331</v>
      </c>
    </row>
    <row r="19" customFormat="false" ht="31.5" hidden="false" customHeight="true" outlineLevel="0" collapsed="false">
      <c r="B19" s="18" t="s">
        <v>1332</v>
      </c>
      <c r="C19" s="13" t="s">
        <v>1333</v>
      </c>
      <c r="D19" s="28" t="s">
        <v>1334</v>
      </c>
    </row>
    <row r="20" customFormat="false" ht="39.75" hidden="false" customHeight="true" outlineLevel="0" collapsed="false">
      <c r="B20" s="18" t="s">
        <v>215</v>
      </c>
      <c r="C20" s="13" t="s">
        <v>1335</v>
      </c>
      <c r="D20" s="31" t="s">
        <v>1336</v>
      </c>
    </row>
    <row r="21" customFormat="false" ht="6.75" hidden="false" customHeight="true" outlineLevel="0" collapsed="false"/>
    <row r="22" customFormat="false" ht="45" hidden="false" customHeight="true" outlineLevel="0" collapsed="false">
      <c r="B22" s="10" t="s">
        <v>1337</v>
      </c>
      <c r="C22" s="10"/>
      <c r="D22" s="10"/>
      <c r="E22" s="10"/>
      <c r="F22" s="10"/>
      <c r="G22" s="10"/>
    </row>
  </sheetData>
  <mergeCells count="7">
    <mergeCell ref="B2:G2"/>
    <mergeCell ref="B3:G3"/>
    <mergeCell ref="B5:G5"/>
    <mergeCell ref="B7:G7"/>
    <mergeCell ref="B8:G8"/>
    <mergeCell ref="B10:G10"/>
    <mergeCell ref="B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4" min="3" style="0" width="42"/>
    <col collapsed="false" customWidth="true" hidden="false" outlineLevel="0" max="5" min="5" style="0" width="32"/>
  </cols>
  <sheetData>
    <row r="2" customFormat="false" ht="30" hidden="false" customHeight="true" outlineLevel="0" collapsed="false">
      <c r="B2" s="1" t="s">
        <v>1338</v>
      </c>
      <c r="C2" s="1"/>
      <c r="D2" s="1"/>
      <c r="E2" s="1"/>
    </row>
    <row r="3" customFormat="false" ht="19.5" hidden="false" customHeight="true" outlineLevel="0" collapsed="false">
      <c r="B3" s="2" t="s">
        <v>1339</v>
      </c>
      <c r="C3" s="2"/>
      <c r="D3" s="2"/>
      <c r="E3" s="2"/>
    </row>
    <row r="4" customFormat="false" ht="6.75" hidden="false" customHeight="true" outlineLevel="0" collapsed="false"/>
    <row r="5" customFormat="false" ht="21.75" hidden="false" customHeight="true" outlineLevel="0" collapsed="false">
      <c r="B5" s="3" t="s">
        <v>1340</v>
      </c>
      <c r="C5" s="3"/>
      <c r="D5" s="3"/>
      <c r="E5" s="3"/>
    </row>
    <row r="6" customFormat="false" ht="30" hidden="false" customHeight="true" outlineLevel="0" collapsed="false">
      <c r="B6" s="11" t="s">
        <v>1053</v>
      </c>
      <c r="C6" s="11" t="s">
        <v>1341</v>
      </c>
      <c r="D6" s="11" t="s">
        <v>1342</v>
      </c>
      <c r="E6" s="11" t="s">
        <v>1343</v>
      </c>
    </row>
    <row r="7" customFormat="false" ht="61.5" hidden="false" customHeight="true" outlineLevel="0" collapsed="false">
      <c r="B7" s="13" t="s">
        <v>1344</v>
      </c>
      <c r="C7" s="13" t="s">
        <v>1345</v>
      </c>
      <c r="D7" s="13" t="s">
        <v>1346</v>
      </c>
      <c r="E7" s="31" t="s">
        <v>1347</v>
      </c>
    </row>
    <row r="8" customFormat="false" ht="61.5" hidden="false" customHeight="true" outlineLevel="0" collapsed="false">
      <c r="B8" s="13" t="s">
        <v>1348</v>
      </c>
      <c r="C8" s="13" t="s">
        <v>1349</v>
      </c>
      <c r="D8" s="13" t="s">
        <v>1350</v>
      </c>
      <c r="E8" s="28" t="s">
        <v>1351</v>
      </c>
    </row>
    <row r="9" customFormat="false" ht="61.5" hidden="false" customHeight="true" outlineLevel="0" collapsed="false">
      <c r="B9" s="13" t="s">
        <v>1352</v>
      </c>
      <c r="C9" s="13" t="s">
        <v>1353</v>
      </c>
      <c r="D9" s="13" t="s">
        <v>1354</v>
      </c>
      <c r="E9" s="31" t="s">
        <v>1355</v>
      </c>
    </row>
    <row r="10" customFormat="false" ht="6.75" hidden="false" customHeight="true" outlineLevel="0" collapsed="false"/>
    <row r="11" customFormat="false" ht="45" hidden="false" customHeight="true" outlineLevel="0" collapsed="false">
      <c r="B11" s="10" t="s">
        <v>1356</v>
      </c>
      <c r="C11" s="10"/>
      <c r="D11" s="10"/>
      <c r="E11" s="10"/>
    </row>
    <row r="12" customFormat="false" ht="6.75" hidden="false" customHeight="true" outlineLevel="0" collapsed="false"/>
    <row r="13" customFormat="false" ht="21.75" hidden="false" customHeight="true" outlineLevel="0" collapsed="false">
      <c r="B13" s="3" t="s">
        <v>1357</v>
      </c>
      <c r="C13" s="3"/>
      <c r="D13" s="3"/>
      <c r="E13" s="3"/>
    </row>
    <row r="14" customFormat="false" ht="30" hidden="false" customHeight="true" outlineLevel="0" collapsed="false">
      <c r="B14" s="11" t="s">
        <v>1358</v>
      </c>
      <c r="C14" s="11" t="s">
        <v>1359</v>
      </c>
      <c r="D14" s="11" t="s">
        <v>1360</v>
      </c>
      <c r="E14" s="11" t="s">
        <v>397</v>
      </c>
    </row>
    <row r="15" customFormat="false" ht="36" hidden="false" customHeight="true" outlineLevel="0" collapsed="false">
      <c r="B15" s="26" t="s">
        <v>1361</v>
      </c>
      <c r="C15" s="13" t="s">
        <v>1362</v>
      </c>
      <c r="D15" s="13" t="s">
        <v>1363</v>
      </c>
      <c r="E15" s="13" t="s">
        <v>1364</v>
      </c>
    </row>
    <row r="16" customFormat="false" ht="36" hidden="false" customHeight="true" outlineLevel="0" collapsed="false">
      <c r="B16" s="26" t="s">
        <v>1365</v>
      </c>
      <c r="C16" s="13" t="s">
        <v>1366</v>
      </c>
      <c r="D16" s="13" t="s">
        <v>1367</v>
      </c>
      <c r="E16" s="13" t="s">
        <v>636</v>
      </c>
    </row>
    <row r="17" customFormat="false" ht="36" hidden="false" customHeight="true" outlineLevel="0" collapsed="false">
      <c r="B17" s="26" t="s">
        <v>1368</v>
      </c>
      <c r="C17" s="13" t="s">
        <v>1369</v>
      </c>
      <c r="D17" s="13" t="s">
        <v>1370</v>
      </c>
      <c r="E17" s="13" t="s">
        <v>1371</v>
      </c>
    </row>
    <row r="18" customFormat="false" ht="36" hidden="false" customHeight="true" outlineLevel="0" collapsed="false">
      <c r="B18" s="26" t="s">
        <v>1372</v>
      </c>
      <c r="C18" s="13" t="s">
        <v>1373</v>
      </c>
      <c r="D18" s="13" t="s">
        <v>1374</v>
      </c>
      <c r="E18" s="13" t="s">
        <v>636</v>
      </c>
    </row>
    <row r="19" customFormat="false" ht="36" hidden="false" customHeight="true" outlineLevel="0" collapsed="false">
      <c r="B19" s="26" t="s">
        <v>1375</v>
      </c>
      <c r="C19" s="13" t="s">
        <v>1376</v>
      </c>
      <c r="D19" s="13" t="s">
        <v>1377</v>
      </c>
      <c r="E19" s="13" t="s">
        <v>1378</v>
      </c>
    </row>
    <row r="20" customFormat="false" ht="36" hidden="false" customHeight="true" outlineLevel="0" collapsed="false">
      <c r="B20" s="26" t="s">
        <v>1379</v>
      </c>
      <c r="C20" s="13" t="s">
        <v>1380</v>
      </c>
      <c r="D20" s="13" t="s">
        <v>1381</v>
      </c>
      <c r="E20" s="13" t="s">
        <v>636</v>
      </c>
    </row>
    <row r="21" customFormat="false" ht="36" hidden="false" customHeight="true" outlineLevel="0" collapsed="false">
      <c r="B21" s="26" t="s">
        <v>1382</v>
      </c>
      <c r="C21" s="13" t="s">
        <v>1383</v>
      </c>
      <c r="D21" s="13" t="s">
        <v>1384</v>
      </c>
      <c r="E21" s="13" t="s">
        <v>1385</v>
      </c>
    </row>
    <row r="22" customFormat="false" ht="36" hidden="false" customHeight="true" outlineLevel="0" collapsed="false">
      <c r="B22" s="26" t="s">
        <v>1386</v>
      </c>
      <c r="C22" s="13" t="s">
        <v>1387</v>
      </c>
      <c r="D22" s="13" t="s">
        <v>1388</v>
      </c>
      <c r="E22" s="13" t="s">
        <v>1385</v>
      </c>
    </row>
    <row r="23" customFormat="false" ht="36" hidden="false" customHeight="true" outlineLevel="0" collapsed="false">
      <c r="B23" s="26" t="s">
        <v>1389</v>
      </c>
      <c r="C23" s="13" t="s">
        <v>1390</v>
      </c>
      <c r="D23" s="13" t="s">
        <v>1391</v>
      </c>
      <c r="E23" s="13" t="s">
        <v>1378</v>
      </c>
    </row>
    <row r="24" customFormat="false" ht="36" hidden="false" customHeight="true" outlineLevel="0" collapsed="false">
      <c r="B24" s="26" t="s">
        <v>1392</v>
      </c>
      <c r="C24" s="13" t="s">
        <v>1393</v>
      </c>
      <c r="D24" s="13" t="s">
        <v>1394</v>
      </c>
      <c r="E24" s="13" t="s">
        <v>1385</v>
      </c>
    </row>
    <row r="25" customFormat="false" ht="36" hidden="false" customHeight="true" outlineLevel="0" collapsed="false">
      <c r="B25" s="26" t="s">
        <v>1395</v>
      </c>
      <c r="C25" s="13" t="s">
        <v>1396</v>
      </c>
      <c r="D25" s="13" t="s">
        <v>1397</v>
      </c>
      <c r="E25" s="13" t="s">
        <v>1398</v>
      </c>
    </row>
    <row r="26" customFormat="false" ht="36" hidden="false" customHeight="true" outlineLevel="0" collapsed="false">
      <c r="B26" s="26" t="s">
        <v>1399</v>
      </c>
      <c r="C26" s="13" t="s">
        <v>1400</v>
      </c>
      <c r="D26" s="13" t="s">
        <v>1401</v>
      </c>
      <c r="E26" s="13" t="s">
        <v>1402</v>
      </c>
    </row>
    <row r="27" customFormat="false" ht="36" hidden="false" customHeight="true" outlineLevel="0" collapsed="false">
      <c r="B27" s="26" t="s">
        <v>1403</v>
      </c>
      <c r="C27" s="13" t="s">
        <v>1404</v>
      </c>
      <c r="D27" s="13" t="s">
        <v>1405</v>
      </c>
      <c r="E27" s="13" t="s">
        <v>636</v>
      </c>
    </row>
    <row r="28" customFormat="false" ht="6.75" hidden="false" customHeight="true" outlineLevel="0" collapsed="false"/>
    <row r="29" customFormat="false" ht="21.75" hidden="false" customHeight="true" outlineLevel="0" collapsed="false">
      <c r="B29" s="3" t="s">
        <v>1406</v>
      </c>
      <c r="C29" s="3"/>
      <c r="D29" s="3"/>
      <c r="E29" s="3"/>
    </row>
    <row r="30" customFormat="false" ht="30" hidden="false" customHeight="true" outlineLevel="0" collapsed="false">
      <c r="B30" s="11" t="s">
        <v>1407</v>
      </c>
      <c r="C30" s="11" t="s">
        <v>125</v>
      </c>
      <c r="D30" s="11" t="s">
        <v>1408</v>
      </c>
    </row>
    <row r="31" customFormat="false" ht="48" hidden="false" customHeight="true" outlineLevel="0" collapsed="false">
      <c r="B31" s="26" t="s">
        <v>1409</v>
      </c>
      <c r="C31" s="13" t="s">
        <v>1410</v>
      </c>
      <c r="D31" s="13" t="s">
        <v>1411</v>
      </c>
    </row>
    <row r="32" customFormat="false" ht="48" hidden="false" customHeight="true" outlineLevel="0" collapsed="false">
      <c r="B32" s="26" t="s">
        <v>1412</v>
      </c>
      <c r="C32" s="13" t="s">
        <v>1413</v>
      </c>
      <c r="D32" s="13" t="s">
        <v>1414</v>
      </c>
    </row>
    <row r="33" customFormat="false" ht="48" hidden="false" customHeight="true" outlineLevel="0" collapsed="false">
      <c r="B33" s="26" t="s">
        <v>1415</v>
      </c>
      <c r="C33" s="13" t="s">
        <v>1416</v>
      </c>
      <c r="D33" s="13" t="s">
        <v>1417</v>
      </c>
    </row>
    <row r="34" customFormat="false" ht="48" hidden="false" customHeight="true" outlineLevel="0" collapsed="false">
      <c r="B34" s="26" t="s">
        <v>1418</v>
      </c>
      <c r="C34" s="13" t="s">
        <v>1419</v>
      </c>
      <c r="D34" s="13" t="s">
        <v>1420</v>
      </c>
    </row>
    <row r="35" customFormat="false" ht="45" hidden="false" customHeight="true" outlineLevel="0" collapsed="false">
      <c r="B35" s="10" t="s">
        <v>1421</v>
      </c>
      <c r="C35" s="10"/>
      <c r="D35" s="10"/>
      <c r="E35" s="10"/>
    </row>
  </sheetData>
  <mergeCells count="7">
    <mergeCell ref="B2:E2"/>
    <mergeCell ref="B3:E3"/>
    <mergeCell ref="B5:E5"/>
    <mergeCell ref="B11:E11"/>
    <mergeCell ref="B13:E13"/>
    <mergeCell ref="B29:E29"/>
    <mergeCell ref="B35:E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L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9"/>
    <col collapsed="false" customWidth="true" hidden="false" outlineLevel="0" max="5" min="4" style="0" width="10"/>
    <col collapsed="false" customWidth="true" hidden="false" outlineLevel="0" max="9" min="6" style="0" width="11"/>
    <col collapsed="false" customWidth="true" hidden="false" outlineLevel="0" max="10" min="10" style="0" width="9"/>
    <col collapsed="false" customWidth="true" hidden="false" outlineLevel="0" max="11" min="11" style="0" width="10"/>
    <col collapsed="false" customWidth="true" hidden="false" outlineLevel="0" max="12" min="12" style="0" width="40"/>
  </cols>
  <sheetData>
    <row r="2" customFormat="false" ht="30" hidden="false" customHeight="true" outlineLevel="0" collapsed="false">
      <c r="B2" s="1" t="s">
        <v>1422</v>
      </c>
      <c r="C2" s="1"/>
      <c r="D2" s="1"/>
      <c r="E2" s="1"/>
      <c r="F2" s="1"/>
      <c r="G2" s="1"/>
      <c r="H2" s="1"/>
      <c r="I2" s="1"/>
      <c r="J2" s="1"/>
      <c r="K2" s="1"/>
      <c r="L2" s="1"/>
    </row>
    <row r="3" customFormat="false" ht="19.5" hidden="false" customHeight="true" outlineLevel="0" collapsed="false">
      <c r="B3" s="2" t="s">
        <v>1423</v>
      </c>
      <c r="C3" s="2"/>
      <c r="D3" s="2"/>
      <c r="E3" s="2"/>
      <c r="F3" s="2"/>
      <c r="G3" s="2"/>
      <c r="H3" s="2"/>
      <c r="I3" s="2"/>
      <c r="J3" s="2"/>
      <c r="K3" s="2"/>
      <c r="L3" s="2"/>
    </row>
    <row r="4" customFormat="false" ht="6.75" hidden="false" customHeight="true" outlineLevel="0" collapsed="false"/>
    <row r="5" customFormat="false" ht="42.75" hidden="false" customHeight="true" outlineLevel="0" collapsed="false">
      <c r="B5" s="4" t="s">
        <v>1424</v>
      </c>
      <c r="C5" s="4"/>
      <c r="D5" s="4"/>
      <c r="E5" s="4"/>
      <c r="F5" s="4"/>
      <c r="G5" s="4"/>
      <c r="H5" s="4"/>
      <c r="I5" s="4"/>
      <c r="J5" s="4"/>
      <c r="K5" s="4"/>
      <c r="L5" s="4"/>
    </row>
    <row r="6" customFormat="false" ht="6.75" hidden="false" customHeight="true" outlineLevel="0" collapsed="false"/>
    <row r="7" customFormat="false" ht="21.75" hidden="false" customHeight="true" outlineLevel="0" collapsed="false">
      <c r="B7" s="3" t="s">
        <v>1425</v>
      </c>
      <c r="C7" s="3"/>
      <c r="D7" s="3"/>
      <c r="E7" s="3"/>
      <c r="F7" s="3"/>
      <c r="G7" s="3"/>
      <c r="H7" s="3"/>
      <c r="I7" s="3"/>
      <c r="J7" s="3"/>
      <c r="K7" s="3"/>
      <c r="L7" s="3"/>
    </row>
    <row r="8" customFormat="false" ht="30" hidden="false" customHeight="true" outlineLevel="0" collapsed="false">
      <c r="B8" s="11" t="s">
        <v>186</v>
      </c>
      <c r="C8" s="11" t="s">
        <v>1426</v>
      </c>
      <c r="D8" s="11" t="s">
        <v>802</v>
      </c>
      <c r="E8" s="11" t="s">
        <v>1427</v>
      </c>
      <c r="F8" s="11" t="s">
        <v>1428</v>
      </c>
      <c r="G8" s="11" t="s">
        <v>1429</v>
      </c>
      <c r="H8" s="11" t="s">
        <v>1430</v>
      </c>
      <c r="I8" s="11" t="s">
        <v>1431</v>
      </c>
      <c r="J8" s="11" t="s">
        <v>1432</v>
      </c>
      <c r="K8" s="11" t="s">
        <v>1433</v>
      </c>
      <c r="L8" s="11" t="s">
        <v>638</v>
      </c>
    </row>
    <row r="9" customFormat="false" ht="15" hidden="false" customHeight="true" outlineLevel="0" collapsed="false">
      <c r="B9" s="26" t="s">
        <v>424</v>
      </c>
      <c r="C9" s="53" t="n">
        <v>0</v>
      </c>
      <c r="D9" s="32" t="n">
        <f aca="false">12_Similarity_Search!$F$9</f>
        <v>14</v>
      </c>
      <c r="E9" s="32" t="n">
        <f aca="false">16_Reranking!$G$17</f>
        <v>9</v>
      </c>
      <c r="F9" s="32" t="n">
        <f aca="false">IF(C9=1,D9,9999)</f>
        <v>9999</v>
      </c>
      <c r="G9" s="32" t="n">
        <f aca="false">IF(C9=1,E9,9999)</f>
        <v>9999</v>
      </c>
      <c r="H9" s="57" t="n">
        <f aca="false">IF(D9&lt;=00_START_HERE!$C$9,C9/LOG(D9+1,2),0)</f>
        <v>0</v>
      </c>
      <c r="I9" s="57" t="n">
        <f aca="false">IF(E9&lt;=00_START_HERE!$C$9,C9/LOG(E9+1,2),0)</f>
        <v>0</v>
      </c>
      <c r="J9" s="32" t="n">
        <v>1</v>
      </c>
      <c r="K9" s="57" t="n">
        <f aca="false">IF(AND(J9&lt;=00_START_HERE!$C$9,J9&lt;=SUM($C$9:$C$26)),1/LOG(J9+1,2),0)</f>
        <v>1</v>
      </c>
      <c r="L9" s="13"/>
    </row>
    <row r="10" customFormat="false" ht="15" hidden="false" customHeight="true" outlineLevel="0" collapsed="false">
      <c r="B10" s="26" t="s">
        <v>427</v>
      </c>
      <c r="C10" s="53" t="n">
        <v>0</v>
      </c>
      <c r="D10" s="32" t="n">
        <f aca="false">12_Similarity_Search!$F$10</f>
        <v>14</v>
      </c>
      <c r="E10" s="32" t="n">
        <f aca="false">16_Reranking!$G$18</f>
        <v>9</v>
      </c>
      <c r="F10" s="32" t="n">
        <f aca="false">IF(C10=1,D10,9999)</f>
        <v>9999</v>
      </c>
      <c r="G10" s="32" t="n">
        <f aca="false">IF(C10=1,E10,9999)</f>
        <v>9999</v>
      </c>
      <c r="H10" s="57" t="n">
        <f aca="false">IF(D10&lt;=00_START_HERE!$C$9,C10/LOG(D10+1,2),0)</f>
        <v>0</v>
      </c>
      <c r="I10" s="57" t="n">
        <f aca="false">IF(E10&lt;=00_START_HERE!$C$9,C10/LOG(E10+1,2),0)</f>
        <v>0</v>
      </c>
      <c r="J10" s="32" t="n">
        <v>2</v>
      </c>
      <c r="K10" s="57" t="n">
        <f aca="false">IF(AND(J10&lt;=00_START_HERE!$C$9,J10&lt;=SUM($C$9:$C$26)),1/LOG(J10+1,2),0)</f>
        <v>0.630929753571457</v>
      </c>
      <c r="L10" s="13"/>
    </row>
    <row r="11" customFormat="false" ht="15" hidden="false" customHeight="true" outlineLevel="0" collapsed="false">
      <c r="B11" s="26" t="s">
        <v>430</v>
      </c>
      <c r="C11" s="53" t="n">
        <v>0</v>
      </c>
      <c r="D11" s="32" t="n">
        <f aca="false">12_Similarity_Search!$F$11</f>
        <v>12</v>
      </c>
      <c r="E11" s="32" t="n">
        <f aca="false">16_Reranking!$G$19</f>
        <v>11</v>
      </c>
      <c r="F11" s="32" t="n">
        <f aca="false">IF(C11=1,D11,9999)</f>
        <v>9999</v>
      </c>
      <c r="G11" s="32" t="n">
        <f aca="false">IF(C11=1,E11,9999)</f>
        <v>9999</v>
      </c>
      <c r="H11" s="57" t="n">
        <f aca="false">IF(D11&lt;=00_START_HERE!$C$9,C11/LOG(D11+1,2),0)</f>
        <v>0</v>
      </c>
      <c r="I11" s="57" t="n">
        <f aca="false">IF(E11&lt;=00_START_HERE!$C$9,C11/LOG(E11+1,2),0)</f>
        <v>0</v>
      </c>
      <c r="J11" s="32" t="n">
        <v>3</v>
      </c>
      <c r="K11" s="57" t="n">
        <f aca="false">IF(AND(J11&lt;=00_START_HERE!$C$9,J11&lt;=SUM($C$9:$C$26)),1/LOG(J11+1,2),0)</f>
        <v>0</v>
      </c>
      <c r="L11" s="13"/>
    </row>
    <row r="12" customFormat="false" ht="15" hidden="false" customHeight="true" outlineLevel="0" collapsed="false">
      <c r="B12" s="26" t="s">
        <v>432</v>
      </c>
      <c r="C12" s="53" t="n">
        <v>0</v>
      </c>
      <c r="D12" s="32" t="n">
        <f aca="false">12_Similarity_Search!$F$12</f>
        <v>13</v>
      </c>
      <c r="E12" s="32" t="n">
        <f aca="false">16_Reranking!$G$20</f>
        <v>11</v>
      </c>
      <c r="F12" s="32" t="n">
        <f aca="false">IF(C12=1,D12,9999)</f>
        <v>9999</v>
      </c>
      <c r="G12" s="32" t="n">
        <f aca="false">IF(C12=1,E12,9999)</f>
        <v>9999</v>
      </c>
      <c r="H12" s="57" t="n">
        <f aca="false">IF(D12&lt;=00_START_HERE!$C$9,C12/LOG(D12+1,2),0)</f>
        <v>0</v>
      </c>
      <c r="I12" s="57" t="n">
        <f aca="false">IF(E12&lt;=00_START_HERE!$C$9,C12/LOG(E12+1,2),0)</f>
        <v>0</v>
      </c>
      <c r="J12" s="32" t="n">
        <v>4</v>
      </c>
      <c r="K12" s="57" t="n">
        <f aca="false">IF(AND(J12&lt;=00_START_HERE!$C$9,J12&lt;=SUM($C$9:$C$26)),1/LOG(J12+1,2),0)</f>
        <v>0</v>
      </c>
      <c r="L12" s="13"/>
    </row>
    <row r="13" customFormat="false" ht="15" hidden="false" customHeight="true" outlineLevel="0" collapsed="false">
      <c r="B13" s="26" t="s">
        <v>433</v>
      </c>
      <c r="C13" s="53" t="n">
        <v>0</v>
      </c>
      <c r="D13" s="32" t="n">
        <f aca="false">12_Similarity_Search!$F$13</f>
        <v>9</v>
      </c>
      <c r="E13" s="32" t="n">
        <f aca="false">16_Reranking!$G$21</f>
        <v>6</v>
      </c>
      <c r="F13" s="32" t="n">
        <f aca="false">IF(C13=1,D13,9999)</f>
        <v>9999</v>
      </c>
      <c r="G13" s="32" t="n">
        <f aca="false">IF(C13=1,E13,9999)</f>
        <v>9999</v>
      </c>
      <c r="H13" s="57" t="n">
        <f aca="false">IF(D13&lt;=00_START_HERE!$C$9,C13/LOG(D13+1,2),0)</f>
        <v>0</v>
      </c>
      <c r="I13" s="57" t="n">
        <f aca="false">IF(E13&lt;=00_START_HERE!$C$9,C13/LOG(E13+1,2),0)</f>
        <v>0</v>
      </c>
      <c r="J13" s="32" t="n">
        <v>5</v>
      </c>
      <c r="K13" s="57" t="n">
        <f aca="false">IF(AND(J13&lt;=00_START_HERE!$C$9,J13&lt;=SUM($C$9:$C$26)),1/LOG(J13+1,2),0)</f>
        <v>0</v>
      </c>
      <c r="L13" s="13"/>
    </row>
    <row r="14" customFormat="false" ht="15" hidden="false" customHeight="true" outlineLevel="0" collapsed="false">
      <c r="B14" s="26" t="s">
        <v>434</v>
      </c>
      <c r="C14" s="53" t="n">
        <v>0</v>
      </c>
      <c r="D14" s="32" t="n">
        <f aca="false">12_Similarity_Search!$F$14</f>
        <v>5</v>
      </c>
      <c r="E14" s="32" t="n">
        <f aca="false">16_Reranking!$G$22</f>
        <v>7</v>
      </c>
      <c r="F14" s="32" t="n">
        <f aca="false">IF(C14=1,D14,9999)</f>
        <v>9999</v>
      </c>
      <c r="G14" s="32" t="n">
        <f aca="false">IF(C14=1,E14,9999)</f>
        <v>9999</v>
      </c>
      <c r="H14" s="57" t="n">
        <f aca="false">IF(D14&lt;=00_START_HERE!$C$9,C14/LOG(D14+1,2),0)</f>
        <v>0</v>
      </c>
      <c r="I14" s="57" t="n">
        <f aca="false">IF(E14&lt;=00_START_HERE!$C$9,C14/LOG(E14+1,2),0)</f>
        <v>0</v>
      </c>
      <c r="J14" s="32" t="n">
        <v>6</v>
      </c>
      <c r="K14" s="57" t="n">
        <f aca="false">IF(AND(J14&lt;=00_START_HERE!$C$9,J14&lt;=SUM($C$9:$C$26)),1/LOG(J14+1,2),0)</f>
        <v>0</v>
      </c>
      <c r="L14" s="13"/>
    </row>
    <row r="15" customFormat="false" ht="15" hidden="false" customHeight="true" outlineLevel="0" collapsed="false">
      <c r="B15" s="26" t="s">
        <v>435</v>
      </c>
      <c r="C15" s="53" t="n">
        <v>0</v>
      </c>
      <c r="D15" s="32" t="n">
        <f aca="false">12_Similarity_Search!$F$15</f>
        <v>6</v>
      </c>
      <c r="E15" s="32" t="n">
        <f aca="false">16_Reranking!$G$23</f>
        <v>3</v>
      </c>
      <c r="F15" s="32" t="n">
        <f aca="false">IF(C15=1,D15,9999)</f>
        <v>9999</v>
      </c>
      <c r="G15" s="32" t="n">
        <f aca="false">IF(C15=1,E15,9999)</f>
        <v>9999</v>
      </c>
      <c r="H15" s="57" t="n">
        <f aca="false">IF(D15&lt;=00_START_HERE!$C$9,C15/LOG(D15+1,2),0)</f>
        <v>0</v>
      </c>
      <c r="I15" s="57" t="n">
        <f aca="false">IF(E15&lt;=00_START_HERE!$C$9,C15/LOG(E15+1,2),0)</f>
        <v>0</v>
      </c>
      <c r="J15" s="32" t="n">
        <v>7</v>
      </c>
      <c r="K15" s="57" t="n">
        <f aca="false">IF(AND(J15&lt;=00_START_HERE!$C$9,J15&lt;=SUM($C$9:$C$26)),1/LOG(J15+1,2),0)</f>
        <v>0</v>
      </c>
      <c r="L15" s="13"/>
    </row>
    <row r="16" customFormat="false" ht="15" hidden="false" customHeight="true" outlineLevel="0" collapsed="false">
      <c r="B16" s="26" t="s">
        <v>437</v>
      </c>
      <c r="C16" s="53" t="n">
        <v>0</v>
      </c>
      <c r="D16" s="32" t="n">
        <f aca="false">12_Similarity_Search!$F$16</f>
        <v>2</v>
      </c>
      <c r="E16" s="32" t="n">
        <f aca="false">16_Reranking!$G$24</f>
        <v>5</v>
      </c>
      <c r="F16" s="32" t="n">
        <f aca="false">IF(C16=1,D16,9999)</f>
        <v>9999</v>
      </c>
      <c r="G16" s="32" t="n">
        <f aca="false">IF(C16=1,E16,9999)</f>
        <v>9999</v>
      </c>
      <c r="H16" s="57" t="n">
        <f aca="false">IF(D16&lt;=00_START_HERE!$C$9,C16/LOG(D16+1,2),0)</f>
        <v>0</v>
      </c>
      <c r="I16" s="57" t="n">
        <f aca="false">IF(E16&lt;=00_START_HERE!$C$9,C16/LOG(E16+1,2),0)</f>
        <v>0</v>
      </c>
      <c r="J16" s="32" t="n">
        <v>8</v>
      </c>
      <c r="K16" s="57" t="n">
        <f aca="false">IF(AND(J16&lt;=00_START_HERE!$C$9,J16&lt;=SUM($C$9:$C$26)),1/LOG(J16+1,2),0)</f>
        <v>0</v>
      </c>
      <c r="L16" s="13" t="s">
        <v>1434</v>
      </c>
    </row>
    <row r="17" customFormat="false" ht="15" hidden="false" customHeight="true" outlineLevel="0" collapsed="false">
      <c r="B17" s="26" t="s">
        <v>439</v>
      </c>
      <c r="C17" s="53" t="n">
        <v>0</v>
      </c>
      <c r="D17" s="32" t="n">
        <f aca="false">12_Similarity_Search!$F$17</f>
        <v>4</v>
      </c>
      <c r="E17" s="32" t="n">
        <f aca="false">16_Reranking!$G$25</f>
        <v>4</v>
      </c>
      <c r="F17" s="32" t="n">
        <f aca="false">IF(C17=1,D17,9999)</f>
        <v>9999</v>
      </c>
      <c r="G17" s="32" t="n">
        <f aca="false">IF(C17=1,E17,9999)</f>
        <v>9999</v>
      </c>
      <c r="H17" s="57" t="n">
        <f aca="false">IF(D17&lt;=00_START_HERE!$C$9,C17/LOG(D17+1,2),0)</f>
        <v>0</v>
      </c>
      <c r="I17" s="57" t="n">
        <f aca="false">IF(E17&lt;=00_START_HERE!$C$9,C17/LOG(E17+1,2),0)</f>
        <v>0</v>
      </c>
      <c r="J17" s="32" t="n">
        <v>9</v>
      </c>
      <c r="K17" s="57" t="n">
        <f aca="false">IF(AND(J17&lt;=00_START_HERE!$C$9,J17&lt;=SUM($C$9:$C$26)),1/LOG(J17+1,2),0)</f>
        <v>0</v>
      </c>
      <c r="L17" s="13"/>
    </row>
    <row r="18" customFormat="false" ht="15" hidden="false" customHeight="true" outlineLevel="0" collapsed="false">
      <c r="B18" s="33" t="s">
        <v>440</v>
      </c>
      <c r="C18" s="53" t="n">
        <v>1</v>
      </c>
      <c r="D18" s="32" t="n">
        <f aca="false">12_Similarity_Search!$F$18</f>
        <v>1</v>
      </c>
      <c r="E18" s="32" t="n">
        <f aca="false">16_Reranking!$G$26</f>
        <v>2</v>
      </c>
      <c r="F18" s="32" t="n">
        <f aca="false">IF(C18=1,D18,9999)</f>
        <v>1</v>
      </c>
      <c r="G18" s="32" t="n">
        <f aca="false">IF(C18=1,E18,9999)</f>
        <v>2</v>
      </c>
      <c r="H18" s="57" t="n">
        <f aca="false">IF(D18&lt;=00_START_HERE!$C$9,C18/LOG(D18+1,2),0)</f>
        <v>1</v>
      </c>
      <c r="I18" s="57" t="n">
        <f aca="false">IF(E18&lt;=00_START_HERE!$C$9,C18/LOG(E18+1,2),0)</f>
        <v>0.630929753571457</v>
      </c>
      <c r="J18" s="32" t="n">
        <v>10</v>
      </c>
      <c r="K18" s="57" t="n">
        <f aca="false">IF(AND(J18&lt;=00_START_HERE!$C$9,J18&lt;=SUM($C$9:$C$26)),1/LOG(J18+1,2),0)</f>
        <v>0</v>
      </c>
      <c r="L18" s="13" t="s">
        <v>1435</v>
      </c>
    </row>
    <row r="19" customFormat="false" ht="15" hidden="false" customHeight="true" outlineLevel="0" collapsed="false">
      <c r="B19" s="33" t="s">
        <v>442</v>
      </c>
      <c r="C19" s="53" t="n">
        <v>1</v>
      </c>
      <c r="D19" s="32" t="n">
        <f aca="false">12_Similarity_Search!$F$19</f>
        <v>3</v>
      </c>
      <c r="E19" s="32" t="n">
        <f aca="false">16_Reranking!$G$27</f>
        <v>1</v>
      </c>
      <c r="F19" s="32" t="n">
        <f aca="false">IF(C19=1,D19,9999)</f>
        <v>3</v>
      </c>
      <c r="G19" s="32" t="n">
        <f aca="false">IF(C19=1,E19,9999)</f>
        <v>1</v>
      </c>
      <c r="H19" s="57" t="n">
        <f aca="false">IF(D19&lt;=00_START_HERE!$C$9,C19/LOG(D19+1,2),0)</f>
        <v>0.5</v>
      </c>
      <c r="I19" s="57" t="n">
        <f aca="false">IF(E19&lt;=00_START_HERE!$C$9,C19/LOG(E19+1,2),0)</f>
        <v>1</v>
      </c>
      <c r="J19" s="32" t="n">
        <v>11</v>
      </c>
      <c r="K19" s="57" t="n">
        <f aca="false">IF(AND(J19&lt;=00_START_HERE!$C$9,J19&lt;=SUM($C$9:$C$26)),1/LOG(J19+1,2),0)</f>
        <v>0</v>
      </c>
      <c r="L19" s="13" t="s">
        <v>1436</v>
      </c>
    </row>
    <row r="20" customFormat="false" ht="15" hidden="false" customHeight="true" outlineLevel="0" collapsed="false">
      <c r="B20" s="26" t="s">
        <v>444</v>
      </c>
      <c r="C20" s="53" t="n">
        <v>0</v>
      </c>
      <c r="D20" s="32" t="n">
        <f aca="false">12_Similarity_Search!$F$20</f>
        <v>8</v>
      </c>
      <c r="E20" s="32" t="n">
        <f aca="false">16_Reranking!$G$28</f>
        <v>11</v>
      </c>
      <c r="F20" s="32" t="n">
        <f aca="false">IF(C20=1,D20,9999)</f>
        <v>9999</v>
      </c>
      <c r="G20" s="32" t="n">
        <f aca="false">IF(C20=1,E20,9999)</f>
        <v>9999</v>
      </c>
      <c r="H20" s="57" t="n">
        <f aca="false">IF(D20&lt;=00_START_HERE!$C$9,C20/LOG(D20+1,2),0)</f>
        <v>0</v>
      </c>
      <c r="I20" s="57" t="n">
        <f aca="false">IF(E20&lt;=00_START_HERE!$C$9,C20/LOG(E20+1,2),0)</f>
        <v>0</v>
      </c>
      <c r="J20" s="32" t="n">
        <v>12</v>
      </c>
      <c r="K20" s="57" t="n">
        <f aca="false">IF(AND(J20&lt;=00_START_HERE!$C$9,J20&lt;=SUM($C$9:$C$26)),1/LOG(J20+1,2),0)</f>
        <v>0</v>
      </c>
      <c r="L20" s="13"/>
    </row>
    <row r="21" customFormat="false" ht="15" hidden="false" customHeight="true" outlineLevel="0" collapsed="false">
      <c r="B21" s="26" t="s">
        <v>445</v>
      </c>
      <c r="C21" s="53" t="n">
        <v>0</v>
      </c>
      <c r="D21" s="32" t="n">
        <f aca="false">12_Similarity_Search!$F$21</f>
        <v>10</v>
      </c>
      <c r="E21" s="32" t="n">
        <f aca="false">16_Reranking!$G$29</f>
        <v>11</v>
      </c>
      <c r="F21" s="32" t="n">
        <f aca="false">IF(C21=1,D21,9999)</f>
        <v>9999</v>
      </c>
      <c r="G21" s="32" t="n">
        <f aca="false">IF(C21=1,E21,9999)</f>
        <v>9999</v>
      </c>
      <c r="H21" s="57" t="n">
        <f aca="false">IF(D21&lt;=00_START_HERE!$C$9,C21/LOG(D21+1,2),0)</f>
        <v>0</v>
      </c>
      <c r="I21" s="57" t="n">
        <f aca="false">IF(E21&lt;=00_START_HERE!$C$9,C21/LOG(E21+1,2),0)</f>
        <v>0</v>
      </c>
      <c r="J21" s="32" t="n">
        <v>13</v>
      </c>
      <c r="K21" s="57" t="n">
        <f aca="false">IF(AND(J21&lt;=00_START_HERE!$C$9,J21&lt;=SUM($C$9:$C$26)),1/LOG(J21+1,2),0)</f>
        <v>0</v>
      </c>
      <c r="L21" s="13"/>
    </row>
    <row r="22" customFormat="false" ht="15" hidden="false" customHeight="true" outlineLevel="0" collapsed="false">
      <c r="B22" s="26" t="s">
        <v>446</v>
      </c>
      <c r="C22" s="53" t="n">
        <v>0</v>
      </c>
      <c r="D22" s="32" t="n">
        <f aca="false">12_Similarity_Search!$F$22</f>
        <v>14</v>
      </c>
      <c r="E22" s="32" t="n">
        <f aca="false">16_Reranking!$G$30</f>
        <v>11</v>
      </c>
      <c r="F22" s="32" t="n">
        <f aca="false">IF(C22=1,D22,9999)</f>
        <v>9999</v>
      </c>
      <c r="G22" s="32" t="n">
        <f aca="false">IF(C22=1,E22,9999)</f>
        <v>9999</v>
      </c>
      <c r="H22" s="57" t="n">
        <f aca="false">IF(D22&lt;=00_START_HERE!$C$9,C22/LOG(D22+1,2),0)</f>
        <v>0</v>
      </c>
      <c r="I22" s="57" t="n">
        <f aca="false">IF(E22&lt;=00_START_HERE!$C$9,C22/LOG(E22+1,2),0)</f>
        <v>0</v>
      </c>
      <c r="J22" s="32" t="n">
        <v>14</v>
      </c>
      <c r="K22" s="57" t="n">
        <f aca="false">IF(AND(J22&lt;=00_START_HERE!$C$9,J22&lt;=SUM($C$9:$C$26)),1/LOG(J22+1,2),0)</f>
        <v>0</v>
      </c>
      <c r="L22" s="13"/>
    </row>
    <row r="23" customFormat="false" ht="15" hidden="false" customHeight="true" outlineLevel="0" collapsed="false">
      <c r="B23" s="26" t="s">
        <v>447</v>
      </c>
      <c r="C23" s="53" t="n">
        <v>0</v>
      </c>
      <c r="D23" s="32" t="n">
        <f aca="false">12_Similarity_Search!$F$23</f>
        <v>14</v>
      </c>
      <c r="E23" s="32" t="n">
        <f aca="false">16_Reranking!$G$31</f>
        <v>11</v>
      </c>
      <c r="F23" s="32" t="n">
        <f aca="false">IF(C23=1,D23,9999)</f>
        <v>9999</v>
      </c>
      <c r="G23" s="32" t="n">
        <f aca="false">IF(C23=1,E23,9999)</f>
        <v>9999</v>
      </c>
      <c r="H23" s="57" t="n">
        <f aca="false">IF(D23&lt;=00_START_HERE!$C$9,C23/LOG(D23+1,2),0)</f>
        <v>0</v>
      </c>
      <c r="I23" s="57" t="n">
        <f aca="false">IF(E23&lt;=00_START_HERE!$C$9,C23/LOG(E23+1,2),0)</f>
        <v>0</v>
      </c>
      <c r="J23" s="32" t="n">
        <v>15</v>
      </c>
      <c r="K23" s="57" t="n">
        <f aca="false">IF(AND(J23&lt;=00_START_HERE!$C$9,J23&lt;=SUM($C$9:$C$26)),1/LOG(J23+1,2),0)</f>
        <v>0</v>
      </c>
      <c r="L23" s="13"/>
    </row>
    <row r="24" customFormat="false" ht="15" hidden="false" customHeight="true" outlineLevel="0" collapsed="false">
      <c r="B24" s="26" t="s">
        <v>448</v>
      </c>
      <c r="C24" s="53" t="n">
        <v>0</v>
      </c>
      <c r="D24" s="32" t="n">
        <f aca="false">12_Similarity_Search!$F$24</f>
        <v>7</v>
      </c>
      <c r="E24" s="32" t="n">
        <f aca="false">16_Reranking!$G$32</f>
        <v>7</v>
      </c>
      <c r="F24" s="32" t="n">
        <f aca="false">IF(C24=1,D24,9999)</f>
        <v>9999</v>
      </c>
      <c r="G24" s="32" t="n">
        <f aca="false">IF(C24=1,E24,9999)</f>
        <v>9999</v>
      </c>
      <c r="H24" s="57" t="n">
        <f aca="false">IF(D24&lt;=00_START_HERE!$C$9,C24/LOG(D24+1,2),0)</f>
        <v>0</v>
      </c>
      <c r="I24" s="57" t="n">
        <f aca="false">IF(E24&lt;=00_START_HERE!$C$9,C24/LOG(E24+1,2),0)</f>
        <v>0</v>
      </c>
      <c r="J24" s="32" t="n">
        <v>16</v>
      </c>
      <c r="K24" s="57" t="n">
        <f aca="false">IF(AND(J24&lt;=00_START_HERE!$C$9,J24&lt;=SUM($C$9:$C$26)),1/LOG(J24+1,2),0)</f>
        <v>0</v>
      </c>
      <c r="L24" s="13"/>
    </row>
    <row r="25" customFormat="false" ht="15" hidden="false" customHeight="true" outlineLevel="0" collapsed="false">
      <c r="B25" s="26" t="s">
        <v>450</v>
      </c>
      <c r="C25" s="53" t="n">
        <v>0</v>
      </c>
      <c r="D25" s="32" t="n">
        <f aca="false">12_Similarity_Search!$F$25</f>
        <v>11</v>
      </c>
      <c r="E25" s="32" t="n">
        <f aca="false">16_Reranking!$G$33</f>
        <v>11</v>
      </c>
      <c r="F25" s="32" t="n">
        <f aca="false">IF(C25=1,D25,9999)</f>
        <v>9999</v>
      </c>
      <c r="G25" s="32" t="n">
        <f aca="false">IF(C25=1,E25,9999)</f>
        <v>9999</v>
      </c>
      <c r="H25" s="57" t="n">
        <f aca="false">IF(D25&lt;=00_START_HERE!$C$9,C25/LOG(D25+1,2),0)</f>
        <v>0</v>
      </c>
      <c r="I25" s="57" t="n">
        <f aca="false">IF(E25&lt;=00_START_HERE!$C$9,C25/LOG(E25+1,2),0)</f>
        <v>0</v>
      </c>
      <c r="J25" s="32" t="n">
        <v>17</v>
      </c>
      <c r="K25" s="57" t="n">
        <f aca="false">IF(AND(J25&lt;=00_START_HERE!$C$9,J25&lt;=SUM($C$9:$C$26)),1/LOG(J25+1,2),0)</f>
        <v>0</v>
      </c>
      <c r="L25" s="13"/>
    </row>
    <row r="26" customFormat="false" ht="15" hidden="false" customHeight="true" outlineLevel="0" collapsed="false">
      <c r="B26" s="26" t="s">
        <v>452</v>
      </c>
      <c r="C26" s="53" t="n">
        <v>0</v>
      </c>
      <c r="D26" s="32" t="n">
        <f aca="false">12_Similarity_Search!$F$26</f>
        <v>14</v>
      </c>
      <c r="E26" s="32" t="n">
        <f aca="false">16_Reranking!$G$34</f>
        <v>11</v>
      </c>
      <c r="F26" s="32" t="n">
        <f aca="false">IF(C26=1,D26,9999)</f>
        <v>9999</v>
      </c>
      <c r="G26" s="32" t="n">
        <f aca="false">IF(C26=1,E26,9999)</f>
        <v>9999</v>
      </c>
      <c r="H26" s="57" t="n">
        <f aca="false">IF(D26&lt;=00_START_HERE!$C$9,C26/LOG(D26+1,2),0)</f>
        <v>0</v>
      </c>
      <c r="I26" s="57" t="n">
        <f aca="false">IF(E26&lt;=00_START_HERE!$C$9,C26/LOG(E26+1,2),0)</f>
        <v>0</v>
      </c>
      <c r="J26" s="32" t="n">
        <v>18</v>
      </c>
      <c r="K26" s="57" t="n">
        <f aca="false">IF(AND(J26&lt;=00_START_HERE!$C$9,J26&lt;=SUM($C$9:$C$26)),1/LOG(J26+1,2),0)</f>
        <v>0</v>
      </c>
      <c r="L26" s="13"/>
    </row>
    <row r="27" customFormat="false" ht="6.75" hidden="false" customHeight="true" outlineLevel="0" collapsed="false"/>
    <row r="28" customFormat="false" ht="21.75" hidden="false" customHeight="true" outlineLevel="0" collapsed="false">
      <c r="B28" s="3" t="s">
        <v>1437</v>
      </c>
      <c r="C28" s="3"/>
      <c r="D28" s="3"/>
      <c r="E28" s="3"/>
      <c r="F28" s="3"/>
      <c r="G28" s="3"/>
      <c r="H28" s="3"/>
      <c r="I28" s="3"/>
      <c r="J28" s="3"/>
      <c r="K28" s="3"/>
      <c r="L28" s="3"/>
    </row>
    <row r="29" customFormat="false" ht="30" hidden="false" customHeight="true" outlineLevel="0" collapsed="false">
      <c r="B29" s="11" t="s">
        <v>667</v>
      </c>
      <c r="C29" s="11" t="s">
        <v>1438</v>
      </c>
      <c r="D29" s="11" t="s">
        <v>1439</v>
      </c>
      <c r="E29" s="11" t="s">
        <v>1440</v>
      </c>
      <c r="F29" s="11" t="s">
        <v>1441</v>
      </c>
    </row>
    <row r="30" customFormat="false" ht="33.75" hidden="false" customHeight="true" outlineLevel="0" collapsed="false">
      <c r="B30" s="26" t="s">
        <v>1442</v>
      </c>
      <c r="C30" s="73" t="n">
        <f aca="false">IFERROR(SUMPRODUCT(($D$9:$D$26&lt;=00_START_HERE!$C$9)*1,$C$9:$C$26)/SUM($C$9:$C$26),0)</f>
        <v>1</v>
      </c>
      <c r="D30" s="74" t="n">
        <f aca="false">IFERROR(SUMPRODUCT(($E$9:$E$26&lt;=00_START_HERE!$C$9)*1,$C$9:$C$26)/SUM($C$9:$C$26),0)</f>
        <v>1</v>
      </c>
      <c r="E30" s="13" t="s">
        <v>1443</v>
      </c>
      <c r="F30" s="13" t="s">
        <v>1444</v>
      </c>
    </row>
    <row r="31" customFormat="false" ht="33.75" hidden="false" customHeight="true" outlineLevel="0" collapsed="false">
      <c r="B31" s="26" t="s">
        <v>1445</v>
      </c>
      <c r="C31" s="73" t="n">
        <f aca="false">IFERROR(SUMPRODUCT(($D$9:$D$26&lt;=00_START_HERE!$C$9)*1,$C$9:$C$26)/00_START_HERE!$C$9,0)</f>
        <v>0.666666666666667</v>
      </c>
      <c r="D31" s="74" t="n">
        <f aca="false">IFERROR(SUMPRODUCT(($E$9:$E$26&lt;=00_START_HERE!$C$9)*1,$C$9:$C$26)/00_START_HERE!$C$9,0)</f>
        <v>0.666666666666667</v>
      </c>
      <c r="E31" s="13" t="s">
        <v>1446</v>
      </c>
      <c r="F31" s="13" t="s">
        <v>1447</v>
      </c>
    </row>
    <row r="32" customFormat="false" ht="33.75" hidden="false" customHeight="true" outlineLevel="0" collapsed="false">
      <c r="B32" s="26" t="s">
        <v>1448</v>
      </c>
      <c r="C32" s="52" t="n">
        <f aca="false">IFERROR(1/MIN($F$9:$F$26),0)</f>
        <v>1</v>
      </c>
      <c r="D32" s="56" t="n">
        <f aca="false">IFERROR(1/MIN($G$9:$G$26),0)</f>
        <v>1</v>
      </c>
      <c r="E32" s="13" t="s">
        <v>1449</v>
      </c>
      <c r="F32" s="13" t="s">
        <v>1450</v>
      </c>
    </row>
    <row r="33" customFormat="false" ht="33.75" hidden="false" customHeight="true" outlineLevel="0" collapsed="false">
      <c r="B33" s="26" t="s">
        <v>1451</v>
      </c>
      <c r="C33" s="52" t="n">
        <f aca="false">IFERROR(SUM($H$9:$H$26)/SUM($K$9:$K$26),0)</f>
        <v>0.919720789148188</v>
      </c>
      <c r="D33" s="56" t="n">
        <f aca="false">IFERROR(SUM($I$9:$I$26)/SUM($K$9:$K$26),0)</f>
        <v>1</v>
      </c>
      <c r="E33" s="13" t="s">
        <v>1452</v>
      </c>
      <c r="F33" s="13" t="s">
        <v>1453</v>
      </c>
    </row>
    <row r="34" customFormat="false" ht="33.75" hidden="false" customHeight="true" outlineLevel="0" collapsed="false">
      <c r="B34" s="26" t="s">
        <v>1454</v>
      </c>
      <c r="C34" s="75" t="n">
        <f aca="false">IF(SUMPRODUCT(($D$9:$D$26&lt;=00_START_HERE!$C$9)*1,$C$9:$C$26)&gt;0,1,0)</f>
        <v>1</v>
      </c>
      <c r="D34" s="76" t="n">
        <f aca="false">IF(SUMPRODUCT(($E$9:$E$26&lt;=00_START_HERE!$C$9)*1,$C$9:$C$26)&gt;0,1,0)</f>
        <v>1</v>
      </c>
      <c r="E34" s="13" t="s">
        <v>1455</v>
      </c>
      <c r="F34" s="13" t="s">
        <v>1456</v>
      </c>
    </row>
    <row r="35" customFormat="false" ht="6.75" hidden="false" customHeight="true" outlineLevel="0" collapsed="false"/>
    <row r="36" customFormat="false" ht="57.75" hidden="false" customHeight="true" outlineLevel="0" collapsed="false">
      <c r="B36" s="10" t="s">
        <v>1457</v>
      </c>
      <c r="C36" s="10"/>
      <c r="D36" s="10"/>
      <c r="E36" s="10"/>
      <c r="F36" s="10"/>
      <c r="G36" s="10"/>
      <c r="H36" s="10"/>
      <c r="I36" s="10"/>
      <c r="J36" s="10"/>
      <c r="K36" s="10"/>
      <c r="L36" s="10"/>
    </row>
    <row r="37" customFormat="false" ht="6.75" hidden="false" customHeight="true" outlineLevel="0" collapsed="false"/>
    <row r="38" customFormat="false" ht="21.75" hidden="false" customHeight="true" outlineLevel="0" collapsed="false">
      <c r="B38" s="3" t="s">
        <v>1458</v>
      </c>
      <c r="C38" s="3"/>
      <c r="D38" s="3"/>
      <c r="E38" s="3"/>
      <c r="F38" s="3"/>
      <c r="G38" s="3"/>
      <c r="H38" s="3"/>
      <c r="I38" s="3"/>
      <c r="J38" s="3"/>
      <c r="K38" s="3"/>
      <c r="L38" s="3"/>
    </row>
    <row r="39" customFormat="false" ht="30" hidden="false" customHeight="true" outlineLevel="0" collapsed="false">
      <c r="B39" s="11" t="s">
        <v>667</v>
      </c>
      <c r="C39" s="11" t="s">
        <v>1459</v>
      </c>
      <c r="D39" s="11" t="s">
        <v>1460</v>
      </c>
    </row>
    <row r="40" customFormat="false" ht="31.5" hidden="false" customHeight="true" outlineLevel="0" collapsed="false">
      <c r="B40" s="26" t="s">
        <v>1461</v>
      </c>
      <c r="C40" s="13" t="s">
        <v>1462</v>
      </c>
      <c r="D40" s="13" t="s">
        <v>1463</v>
      </c>
    </row>
    <row r="41" customFormat="false" ht="31.5" hidden="false" customHeight="true" outlineLevel="0" collapsed="false">
      <c r="B41" s="26" t="s">
        <v>1464</v>
      </c>
      <c r="C41" s="13" t="s">
        <v>1465</v>
      </c>
      <c r="D41" s="13" t="s">
        <v>1466</v>
      </c>
    </row>
    <row r="42" customFormat="false" ht="31.5" hidden="false" customHeight="true" outlineLevel="0" collapsed="false">
      <c r="B42" s="26" t="s">
        <v>1467</v>
      </c>
      <c r="C42" s="13" t="s">
        <v>1468</v>
      </c>
      <c r="D42" s="13" t="s">
        <v>1469</v>
      </c>
    </row>
    <row r="43" customFormat="false" ht="31.5" hidden="false" customHeight="true" outlineLevel="0" collapsed="false">
      <c r="B43" s="26" t="s">
        <v>1470</v>
      </c>
      <c r="C43" s="13" t="s">
        <v>1471</v>
      </c>
      <c r="D43" s="13" t="s">
        <v>1472</v>
      </c>
    </row>
    <row r="44" customFormat="false" ht="31.5" hidden="false" customHeight="true" outlineLevel="0" collapsed="false">
      <c r="B44" s="26" t="s">
        <v>1473</v>
      </c>
      <c r="C44" s="13" t="s">
        <v>1474</v>
      </c>
      <c r="D44" s="13" t="s">
        <v>1475</v>
      </c>
    </row>
    <row r="45" customFormat="false" ht="31.5" hidden="false" customHeight="true" outlineLevel="0" collapsed="false">
      <c r="B45" s="26" t="s">
        <v>1476</v>
      </c>
      <c r="C45" s="13" t="s">
        <v>1477</v>
      </c>
      <c r="D45" s="13" t="s">
        <v>1478</v>
      </c>
    </row>
    <row r="46" customFormat="false" ht="6.75" hidden="false" customHeight="true" outlineLevel="0" collapsed="false"/>
    <row r="47" customFormat="false" ht="21.75" hidden="false" customHeight="true" outlineLevel="0" collapsed="false">
      <c r="B47" s="3" t="s">
        <v>1479</v>
      </c>
      <c r="C47" s="3"/>
      <c r="D47" s="3"/>
      <c r="E47" s="3"/>
      <c r="F47" s="3"/>
      <c r="G47" s="3"/>
      <c r="H47" s="3"/>
      <c r="I47" s="3"/>
      <c r="J47" s="3"/>
      <c r="K47" s="3"/>
      <c r="L47" s="3"/>
    </row>
    <row r="48" customFormat="false" ht="30" hidden="false" customHeight="true" outlineLevel="0" collapsed="false">
      <c r="B48" s="11" t="s">
        <v>396</v>
      </c>
      <c r="C48" s="11" t="s">
        <v>1009</v>
      </c>
    </row>
    <row r="49" customFormat="false" ht="27.75" hidden="false" customHeight="true" outlineLevel="0" collapsed="false">
      <c r="B49" s="26" t="s">
        <v>1480</v>
      </c>
      <c r="C49" s="13" t="s">
        <v>1481</v>
      </c>
    </row>
    <row r="50" customFormat="false" ht="27.75" hidden="false" customHeight="true" outlineLevel="0" collapsed="false">
      <c r="B50" s="26" t="s">
        <v>1482</v>
      </c>
      <c r="C50" s="13" t="s">
        <v>1483</v>
      </c>
    </row>
    <row r="51" customFormat="false" ht="27.75" hidden="false" customHeight="true" outlineLevel="0" collapsed="false">
      <c r="B51" s="26" t="s">
        <v>1484</v>
      </c>
      <c r="C51" s="13" t="s">
        <v>1485</v>
      </c>
    </row>
    <row r="52" customFormat="false" ht="27.75" hidden="false" customHeight="true" outlineLevel="0" collapsed="false">
      <c r="B52" s="26" t="s">
        <v>1486</v>
      </c>
      <c r="C52" s="13" t="s">
        <v>1487</v>
      </c>
    </row>
    <row r="53" customFormat="false" ht="27.75" hidden="false" customHeight="true" outlineLevel="0" collapsed="false">
      <c r="B53" s="26" t="s">
        <v>1488</v>
      </c>
      <c r="C53" s="13" t="s">
        <v>1489</v>
      </c>
    </row>
    <row r="54" customFormat="false" ht="27.75" hidden="false" customHeight="true" outlineLevel="0" collapsed="false">
      <c r="B54" s="26" t="s">
        <v>1490</v>
      </c>
      <c r="C54" s="13" t="s">
        <v>1491</v>
      </c>
    </row>
    <row r="55" customFormat="false" ht="31.5" hidden="false" customHeight="true" outlineLevel="0" collapsed="false">
      <c r="B55" s="10" t="s">
        <v>1492</v>
      </c>
      <c r="C55" s="10"/>
      <c r="D55" s="10"/>
      <c r="E55" s="10"/>
      <c r="F55" s="10"/>
      <c r="G55" s="10"/>
      <c r="H55" s="10"/>
      <c r="I55" s="10"/>
      <c r="J55" s="10"/>
      <c r="K55" s="10"/>
      <c r="L55" s="10"/>
    </row>
  </sheetData>
  <mergeCells count="9">
    <mergeCell ref="B2:L2"/>
    <mergeCell ref="B3:L3"/>
    <mergeCell ref="B5:L5"/>
    <mergeCell ref="B7:L7"/>
    <mergeCell ref="B28:L28"/>
    <mergeCell ref="B36:L36"/>
    <mergeCell ref="B38:L38"/>
    <mergeCell ref="B47:L47"/>
    <mergeCell ref="B55:L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4" min="3" style="0" width="16"/>
    <col collapsed="false" customWidth="true" hidden="false" outlineLevel="0" max="5" min="5" style="0" width="66"/>
  </cols>
  <sheetData>
    <row r="2" customFormat="false" ht="30" hidden="false" customHeight="true" outlineLevel="0" collapsed="false">
      <c r="B2" s="1" t="s">
        <v>1493</v>
      </c>
      <c r="C2" s="1"/>
      <c r="D2" s="1"/>
      <c r="E2" s="1"/>
    </row>
    <row r="3" customFormat="false" ht="19.5" hidden="false" customHeight="true" outlineLevel="0" collapsed="false">
      <c r="B3" s="2" t="s">
        <v>1494</v>
      </c>
      <c r="C3" s="2"/>
      <c r="D3" s="2"/>
      <c r="E3" s="2"/>
    </row>
    <row r="4" customFormat="false" ht="6.75" hidden="false" customHeight="true" outlineLevel="0" collapsed="false"/>
    <row r="5" customFormat="false" ht="21.75" hidden="false" customHeight="true" outlineLevel="0" collapsed="false">
      <c r="B5" s="3" t="s">
        <v>1495</v>
      </c>
      <c r="C5" s="3"/>
      <c r="D5" s="3"/>
      <c r="E5" s="3"/>
    </row>
    <row r="6" customFormat="false" ht="30" hidden="false" customHeight="true" outlineLevel="0" collapsed="false">
      <c r="B6" s="11" t="s">
        <v>755</v>
      </c>
      <c r="C6" s="11" t="s">
        <v>644</v>
      </c>
      <c r="D6" s="11" t="s">
        <v>1496</v>
      </c>
      <c r="E6" s="11" t="s">
        <v>945</v>
      </c>
    </row>
    <row r="7" customFormat="false" ht="15.75" hidden="false" customHeight="true" outlineLevel="0" collapsed="false">
      <c r="B7" s="18" t="s">
        <v>1497</v>
      </c>
      <c r="C7" s="69" t="n">
        <v>5000</v>
      </c>
      <c r="D7" s="18" t="s">
        <v>1498</v>
      </c>
      <c r="E7" s="13" t="s">
        <v>1499</v>
      </c>
    </row>
    <row r="8" customFormat="false" ht="15.75" hidden="false" customHeight="true" outlineLevel="0" collapsed="false">
      <c r="B8" s="18" t="s">
        <v>1500</v>
      </c>
      <c r="C8" s="69" t="n">
        <v>40</v>
      </c>
      <c r="D8" s="18" t="s">
        <v>1501</v>
      </c>
      <c r="E8" s="13"/>
    </row>
    <row r="9" customFormat="false" ht="15.75" hidden="false" customHeight="true" outlineLevel="0" collapsed="false">
      <c r="B9" s="18" t="s">
        <v>1502</v>
      </c>
      <c r="C9" s="69" t="n">
        <v>500</v>
      </c>
      <c r="D9" s="18" t="s">
        <v>1503</v>
      </c>
      <c r="E9" s="13"/>
    </row>
    <row r="10" customFormat="false" ht="15.75" hidden="false" customHeight="true" outlineLevel="0" collapsed="false">
      <c r="B10" s="18" t="s">
        <v>1504</v>
      </c>
      <c r="C10" s="69" t="n">
        <v>100000</v>
      </c>
      <c r="D10" s="18" t="s">
        <v>1505</v>
      </c>
      <c r="E10" s="13"/>
    </row>
    <row r="11" customFormat="false" ht="15.75" hidden="false" customHeight="true" outlineLevel="0" collapsed="false">
      <c r="B11" s="18" t="s">
        <v>1506</v>
      </c>
      <c r="C11" s="77" t="n">
        <v>0.02</v>
      </c>
      <c r="D11" s="18" t="s">
        <v>1507</v>
      </c>
      <c r="E11" s="13" t="s">
        <v>1508</v>
      </c>
    </row>
    <row r="12" customFormat="false" ht="15.75" hidden="false" customHeight="true" outlineLevel="0" collapsed="false">
      <c r="B12" s="18" t="s">
        <v>1509</v>
      </c>
      <c r="C12" s="78" t="n">
        <v>3</v>
      </c>
      <c r="D12" s="18" t="s">
        <v>1507</v>
      </c>
      <c r="E12" s="13" t="s">
        <v>1510</v>
      </c>
    </row>
    <row r="13" customFormat="false" ht="15.75" hidden="false" customHeight="true" outlineLevel="0" collapsed="false">
      <c r="B13" s="18" t="s">
        <v>1511</v>
      </c>
      <c r="C13" s="78" t="n">
        <v>15</v>
      </c>
      <c r="D13" s="18" t="s">
        <v>1507</v>
      </c>
      <c r="E13" s="13"/>
    </row>
    <row r="14" customFormat="false" ht="15.75" hidden="false" customHeight="true" outlineLevel="0" collapsed="false">
      <c r="B14" s="18" t="s">
        <v>1512</v>
      </c>
      <c r="C14" s="69" t="n">
        <v>60</v>
      </c>
      <c r="D14" s="18" t="s">
        <v>1513</v>
      </c>
      <c r="E14" s="13" t="s">
        <v>1514</v>
      </c>
    </row>
    <row r="15" customFormat="false" ht="15.75" hidden="false" customHeight="true" outlineLevel="0" collapsed="false">
      <c r="B15" s="18" t="s">
        <v>1515</v>
      </c>
      <c r="C15" s="69" t="n">
        <v>2500</v>
      </c>
      <c r="D15" s="18" t="s">
        <v>1516</v>
      </c>
      <c r="E15" s="13" t="s">
        <v>1517</v>
      </c>
    </row>
    <row r="16" customFormat="false" ht="15.75" hidden="false" customHeight="true" outlineLevel="0" collapsed="false">
      <c r="B16" s="18" t="s">
        <v>1518</v>
      </c>
      <c r="C16" s="79" t="n">
        <v>4</v>
      </c>
      <c r="D16" s="18" t="s">
        <v>1519</v>
      </c>
      <c r="E16" s="13" t="s">
        <v>1520</v>
      </c>
    </row>
    <row r="17" customFormat="false" ht="15.75" hidden="false" customHeight="true" outlineLevel="0" collapsed="false">
      <c r="B17" s="18" t="s">
        <v>1521</v>
      </c>
      <c r="C17" s="69" t="n">
        <v>1800</v>
      </c>
      <c r="D17" s="18" t="s">
        <v>1516</v>
      </c>
      <c r="E17" s="13" t="s">
        <v>1522</v>
      </c>
    </row>
    <row r="18" customFormat="false" ht="6.75" hidden="false" customHeight="true" outlineLevel="0" collapsed="false"/>
    <row r="19" customFormat="false" ht="21.75" hidden="false" customHeight="true" outlineLevel="0" collapsed="false">
      <c r="B19" s="3" t="s">
        <v>1523</v>
      </c>
      <c r="C19" s="3"/>
      <c r="D19" s="3"/>
      <c r="E19" s="3"/>
    </row>
    <row r="20" customFormat="false" ht="30" hidden="false" customHeight="true" outlineLevel="0" collapsed="false">
      <c r="B20" s="11" t="s">
        <v>643</v>
      </c>
      <c r="C20" s="11" t="s">
        <v>644</v>
      </c>
      <c r="D20" s="11"/>
      <c r="E20" s="11" t="s">
        <v>945</v>
      </c>
    </row>
    <row r="21" customFormat="false" ht="15.75" hidden="false" customHeight="true" outlineLevel="0" collapsed="false">
      <c r="B21" s="18" t="s">
        <v>1524</v>
      </c>
      <c r="C21" s="61" t="n">
        <f aca="false">($C$7*$C$8*$C$9)</f>
        <v>100000000</v>
      </c>
      <c r="D21" s="18"/>
      <c r="E21" s="18"/>
    </row>
    <row r="22" customFormat="false" ht="15.75" hidden="false" customHeight="true" outlineLevel="0" collapsed="false">
      <c r="B22" s="18" t="s">
        <v>1525</v>
      </c>
      <c r="C22" s="61" t="n">
        <f aca="false">(($C$7*$C$8*$C$9)*1.33)</f>
        <v>133000000</v>
      </c>
      <c r="D22" s="18"/>
      <c r="E22" s="13" t="s">
        <v>1526</v>
      </c>
    </row>
    <row r="23" customFormat="false" ht="15.75" hidden="false" customHeight="true" outlineLevel="0" collapsed="false">
      <c r="B23" s="18" t="s">
        <v>1527</v>
      </c>
      <c r="C23" s="61" t="n">
        <f aca="false">(($C$7*$C$8*$C$9)*1.33)/400</f>
        <v>332500</v>
      </c>
      <c r="D23" s="18"/>
      <c r="E23" s="18"/>
    </row>
    <row r="24" customFormat="false" ht="15.75" hidden="false" customHeight="true" outlineLevel="0" collapsed="false">
      <c r="B24" s="18" t="s">
        <v>1528</v>
      </c>
      <c r="C24" s="61" t="n">
        <f aca="false">$C$7*$C$14</f>
        <v>300000</v>
      </c>
      <c r="D24" s="18"/>
      <c r="E24" s="18"/>
    </row>
    <row r="25" customFormat="false" ht="6.75" hidden="false" customHeight="true" outlineLevel="0" collapsed="false"/>
    <row r="26" customFormat="false" ht="21.75" hidden="false" customHeight="true" outlineLevel="0" collapsed="false">
      <c r="B26" s="3" t="s">
        <v>1529</v>
      </c>
      <c r="C26" s="3"/>
      <c r="D26" s="3"/>
      <c r="E26" s="3"/>
    </row>
    <row r="27" customFormat="false" ht="30" hidden="false" customHeight="true" outlineLevel="0" collapsed="false">
      <c r="B27" s="11" t="s">
        <v>643</v>
      </c>
      <c r="C27" s="11" t="s">
        <v>1530</v>
      </c>
      <c r="D27" s="11" t="s">
        <v>1531</v>
      </c>
      <c r="E27" s="11" t="s">
        <v>945</v>
      </c>
    </row>
    <row r="28" customFormat="false" ht="27.75" hidden="false" customHeight="true" outlineLevel="0" collapsed="false">
      <c r="B28" s="18" t="s">
        <v>1532</v>
      </c>
      <c r="C28" s="80" t="n">
        <f aca="false">(($C$7*$C$8*$C$9)*1.33)/1000000*$C$11</f>
        <v>2.66</v>
      </c>
      <c r="D28" s="80" t="n">
        <f aca="false">$C$7*$C$14*$C$15/1000000*$C$12</f>
        <v>2250</v>
      </c>
      <c r="E28" s="13" t="s">
        <v>1533</v>
      </c>
    </row>
    <row r="29" customFormat="false" ht="33.75" hidden="false" customHeight="true" outlineLevel="0" collapsed="false">
      <c r="B29" s="18" t="s">
        <v>1534</v>
      </c>
      <c r="C29" s="80" t="n">
        <f aca="false">(($C$7*$C$8*$C$9)*1.33)/1000000*$C$11</f>
        <v>2.66</v>
      </c>
      <c r="D29" s="80" t="n">
        <f aca="false">$C$7*$C$14*$C$15/1000000*$C$12</f>
        <v>2250</v>
      </c>
      <c r="E29" s="13" t="s">
        <v>1535</v>
      </c>
    </row>
    <row r="30" customFormat="false" ht="6.75" hidden="false" customHeight="true" outlineLevel="0" collapsed="false"/>
    <row r="31" customFormat="false" ht="21.75" hidden="false" customHeight="true" outlineLevel="0" collapsed="false">
      <c r="B31" s="3" t="s">
        <v>1536</v>
      </c>
      <c r="C31" s="3"/>
      <c r="D31" s="3"/>
      <c r="E31" s="3"/>
    </row>
    <row r="32" customFormat="false" ht="30" hidden="false" customHeight="true" outlineLevel="0" collapsed="false">
      <c r="B32" s="11" t="s">
        <v>643</v>
      </c>
      <c r="C32" s="11" t="s">
        <v>1530</v>
      </c>
      <c r="D32" s="11" t="s">
        <v>1531</v>
      </c>
      <c r="E32" s="11" t="s">
        <v>945</v>
      </c>
    </row>
    <row r="33" customFormat="false" ht="27.75" hidden="false" customHeight="true" outlineLevel="0" collapsed="false">
      <c r="B33" s="18" t="s">
        <v>1537</v>
      </c>
      <c r="C33" s="80" t="n">
        <f aca="false">$C$10*20/1000000*$C$11</f>
        <v>0.04</v>
      </c>
      <c r="D33" s="81" t="n">
        <f aca="false">$C$10*$C$16*$C$17/1000000*$C$12</f>
        <v>2160</v>
      </c>
      <c r="E33" s="13" t="s">
        <v>1538</v>
      </c>
    </row>
    <row r="34" customFormat="false" ht="19.5" hidden="false" customHeight="true" outlineLevel="0" collapsed="false">
      <c r="B34" s="18" t="s">
        <v>1539</v>
      </c>
      <c r="C34" s="82" t="n">
        <f aca="false">$C$10*20/1000000*$C$11/$C$10</f>
        <v>4E-007</v>
      </c>
      <c r="D34" s="82" t="n">
        <f aca="false">$C$10*$C$16*$C$17/1000000*$C$12/$C$10</f>
        <v>0.0216</v>
      </c>
      <c r="E34" s="13" t="s">
        <v>1540</v>
      </c>
    </row>
    <row r="35" customFormat="false" ht="27.75" hidden="false" customHeight="true" outlineLevel="0" collapsed="false">
      <c r="B35" s="18" t="s">
        <v>1541</v>
      </c>
      <c r="C35" s="32" t="s">
        <v>1542</v>
      </c>
      <c r="D35" s="32" t="s">
        <v>1543</v>
      </c>
      <c r="E35" s="13" t="s">
        <v>1544</v>
      </c>
    </row>
    <row r="36" customFormat="false" ht="27.75" hidden="false" customHeight="true" outlineLevel="0" collapsed="false">
      <c r="B36" s="18" t="s">
        <v>1545</v>
      </c>
      <c r="C36" s="80" t="n">
        <f aca="false">($C$10*(2000*$C$12+300*$C$13)/1000000)</f>
        <v>1050</v>
      </c>
      <c r="D36" s="80" t="n">
        <f aca="false">($C$10*(2500*$C$12+300*$C$13)/1000000)</f>
        <v>1200</v>
      </c>
      <c r="E36" s="13" t="s">
        <v>1546</v>
      </c>
    </row>
    <row r="37" customFormat="false" ht="6.75" hidden="false" customHeight="true" outlineLevel="0" collapsed="false"/>
    <row r="38" customFormat="false" ht="27.75" hidden="false" customHeight="true" outlineLevel="0" collapsed="false">
      <c r="B38" s="26" t="s">
        <v>1547</v>
      </c>
      <c r="C38" s="83" t="n">
        <f aca="false">(($C$7*$C$8*$C$9)*1.33)/1000000*$C$11+12*($C$10*20/1000000*$C$11)+12*($C$10*(2000*$C$12+300*$C$13)/1000000)</f>
        <v>12603.14</v>
      </c>
      <c r="D38" s="83" t="n">
        <f aca="false">$C$7*$C$14*$C$15/1000000*$C$12+12*($C$10*$C$16*$C$17/1000000*$C$12)+12*($C$10*(2500*$C$12+300*$C$13)/1000000)</f>
        <v>42570</v>
      </c>
      <c r="E38" s="13" t="s">
        <v>1548</v>
      </c>
    </row>
    <row r="39" customFormat="false" ht="6.75" hidden="false" customHeight="true" outlineLevel="0" collapsed="false"/>
    <row r="40" customFormat="false" ht="57.75" hidden="false" customHeight="true" outlineLevel="0" collapsed="false">
      <c r="B40" s="10" t="s">
        <v>1549</v>
      </c>
      <c r="C40" s="10"/>
      <c r="D40" s="10"/>
      <c r="E40" s="10"/>
    </row>
    <row r="41" customFormat="false" ht="31.5" hidden="false" customHeight="true" outlineLevel="0" collapsed="false">
      <c r="B41" s="34" t="s">
        <v>1550</v>
      </c>
      <c r="C41" s="34"/>
      <c r="D41" s="34"/>
      <c r="E41" s="34"/>
    </row>
  </sheetData>
  <mergeCells count="8">
    <mergeCell ref="B2:E2"/>
    <mergeCell ref="B3:E3"/>
    <mergeCell ref="B5:E5"/>
    <mergeCell ref="B19:E19"/>
    <mergeCell ref="B26:E26"/>
    <mergeCell ref="B31:E31"/>
    <mergeCell ref="B40:E40"/>
    <mergeCell ref="B41:E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34"/>
    <col collapsed="false" customWidth="true" hidden="false" outlineLevel="0" max="4" min="4" style="0" width="44"/>
    <col collapsed="false" customWidth="true" hidden="false" outlineLevel="0" max="5" min="5" style="0" width="30"/>
  </cols>
  <sheetData>
    <row r="2" customFormat="false" ht="30" hidden="false" customHeight="true" outlineLevel="0" collapsed="false">
      <c r="B2" s="1" t="s">
        <v>1551</v>
      </c>
      <c r="C2" s="1"/>
      <c r="D2" s="1"/>
      <c r="E2" s="1"/>
    </row>
    <row r="3" customFormat="false" ht="19.5" hidden="false" customHeight="true" outlineLevel="0" collapsed="false">
      <c r="B3" s="2" t="s">
        <v>1552</v>
      </c>
      <c r="C3" s="2"/>
      <c r="D3" s="2"/>
      <c r="E3" s="2"/>
    </row>
    <row r="4" customFormat="false" ht="6.75" hidden="false" customHeight="true" outlineLevel="0" collapsed="false"/>
    <row r="5" customFormat="false" ht="30" hidden="false" customHeight="true" outlineLevel="0" collapsed="false">
      <c r="B5" s="11" t="s">
        <v>884</v>
      </c>
      <c r="C5" s="11" t="s">
        <v>1553</v>
      </c>
      <c r="D5" s="11" t="s">
        <v>1554</v>
      </c>
      <c r="E5" s="11" t="s">
        <v>646</v>
      </c>
    </row>
    <row r="6" customFormat="false" ht="48" hidden="false" customHeight="true" outlineLevel="0" collapsed="false">
      <c r="B6" s="13" t="s">
        <v>1555</v>
      </c>
      <c r="C6" s="13" t="s">
        <v>1556</v>
      </c>
      <c r="D6" s="13" t="s">
        <v>1557</v>
      </c>
      <c r="E6" s="13" t="s">
        <v>1558</v>
      </c>
    </row>
    <row r="7" customFormat="false" ht="48" hidden="false" customHeight="true" outlineLevel="0" collapsed="false">
      <c r="B7" s="13" t="s">
        <v>1559</v>
      </c>
      <c r="C7" s="13" t="s">
        <v>1560</v>
      </c>
      <c r="D7" s="13" t="s">
        <v>1561</v>
      </c>
      <c r="E7" s="13" t="s">
        <v>1562</v>
      </c>
    </row>
    <row r="8" customFormat="false" ht="48" hidden="false" customHeight="true" outlineLevel="0" collapsed="false">
      <c r="B8" s="13" t="s">
        <v>1563</v>
      </c>
      <c r="C8" s="13" t="s">
        <v>1564</v>
      </c>
      <c r="D8" s="13" t="s">
        <v>1565</v>
      </c>
      <c r="E8" s="13" t="s">
        <v>1566</v>
      </c>
    </row>
    <row r="9" customFormat="false" ht="48" hidden="false" customHeight="true" outlineLevel="0" collapsed="false">
      <c r="B9" s="13" t="s">
        <v>1567</v>
      </c>
      <c r="C9" s="13" t="s">
        <v>1568</v>
      </c>
      <c r="D9" s="13" t="s">
        <v>1569</v>
      </c>
      <c r="E9" s="13" t="s">
        <v>1570</v>
      </c>
    </row>
    <row r="10" customFormat="false" ht="48" hidden="false" customHeight="true" outlineLevel="0" collapsed="false">
      <c r="B10" s="13" t="s">
        <v>1571</v>
      </c>
      <c r="C10" s="13" t="s">
        <v>1572</v>
      </c>
      <c r="D10" s="13" t="s">
        <v>1573</v>
      </c>
      <c r="E10" s="13" t="s">
        <v>1574</v>
      </c>
    </row>
    <row r="11" customFormat="false" ht="48" hidden="false" customHeight="true" outlineLevel="0" collapsed="false">
      <c r="B11" s="13" t="s">
        <v>1575</v>
      </c>
      <c r="C11" s="13" t="s">
        <v>1576</v>
      </c>
      <c r="D11" s="13" t="s">
        <v>1577</v>
      </c>
      <c r="E11" s="13" t="s">
        <v>1578</v>
      </c>
    </row>
    <row r="12" customFormat="false" ht="48" hidden="false" customHeight="true" outlineLevel="0" collapsed="false">
      <c r="B12" s="13" t="s">
        <v>1579</v>
      </c>
      <c r="C12" s="13" t="s">
        <v>1580</v>
      </c>
      <c r="D12" s="13" t="s">
        <v>1581</v>
      </c>
      <c r="E12" s="13" t="s">
        <v>1582</v>
      </c>
    </row>
    <row r="13" customFormat="false" ht="48" hidden="false" customHeight="true" outlineLevel="0" collapsed="false">
      <c r="B13" s="13" t="s">
        <v>1583</v>
      </c>
      <c r="C13" s="13" t="s">
        <v>1584</v>
      </c>
      <c r="D13" s="28" t="s">
        <v>1585</v>
      </c>
      <c r="E13" s="13" t="s">
        <v>1586</v>
      </c>
    </row>
    <row r="14" customFormat="false" ht="6.75" hidden="false" customHeight="true" outlineLevel="0" collapsed="false"/>
    <row r="15" customFormat="false" ht="21.75" hidden="false" customHeight="true" outlineLevel="0" collapsed="false">
      <c r="B15" s="3" t="s">
        <v>1587</v>
      </c>
      <c r="C15" s="3"/>
      <c r="D15" s="3"/>
      <c r="E15" s="3"/>
    </row>
    <row r="16" customFormat="false" ht="30" hidden="false" customHeight="true" outlineLevel="0" collapsed="false">
      <c r="B16" s="11" t="s">
        <v>1588</v>
      </c>
      <c r="C16" s="11" t="s">
        <v>1589</v>
      </c>
    </row>
    <row r="17" customFormat="false" ht="36" hidden="false" customHeight="true" outlineLevel="0" collapsed="false">
      <c r="B17" s="26" t="s">
        <v>1590</v>
      </c>
      <c r="C17" s="13" t="s">
        <v>1591</v>
      </c>
    </row>
    <row r="18" customFormat="false" ht="36" hidden="false" customHeight="true" outlineLevel="0" collapsed="false">
      <c r="B18" s="26" t="s">
        <v>1592</v>
      </c>
      <c r="C18" s="13" t="s">
        <v>1593</v>
      </c>
    </row>
    <row r="19" customFormat="false" ht="36" hidden="false" customHeight="true" outlineLevel="0" collapsed="false">
      <c r="B19" s="26" t="s">
        <v>1594</v>
      </c>
      <c r="C19" s="13" t="s">
        <v>1595</v>
      </c>
    </row>
    <row r="20" customFormat="false" ht="36" hidden="false" customHeight="true" outlineLevel="0" collapsed="false">
      <c r="B20" s="26" t="s">
        <v>1596</v>
      </c>
      <c r="C20" s="13" t="s">
        <v>1597</v>
      </c>
    </row>
    <row r="21" customFormat="false" ht="36" hidden="false" customHeight="true" outlineLevel="0" collapsed="false">
      <c r="B21" s="26" t="s">
        <v>1598</v>
      </c>
      <c r="C21" s="13" t="s">
        <v>1599</v>
      </c>
    </row>
    <row r="22" customFormat="false" ht="36" hidden="false" customHeight="true" outlineLevel="0" collapsed="false">
      <c r="B22" s="26" t="s">
        <v>1600</v>
      </c>
      <c r="C22" s="13" t="s">
        <v>1601</v>
      </c>
    </row>
    <row r="23" customFormat="false" ht="45" hidden="false" customHeight="true" outlineLevel="0" collapsed="false">
      <c r="B23" s="10" t="s">
        <v>1602</v>
      </c>
      <c r="C23" s="10"/>
      <c r="D23" s="10"/>
      <c r="E23" s="10"/>
    </row>
  </sheetData>
  <mergeCells count="4">
    <mergeCell ref="B2:E2"/>
    <mergeCell ref="B3:E3"/>
    <mergeCell ref="B15:E15"/>
    <mergeCell ref="B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
    <col collapsed="false" customWidth="true" hidden="false" outlineLevel="0" max="3" min="3" style="0" width="14"/>
    <col collapsed="false" customWidth="true" hidden="false" outlineLevel="0" max="4" min="4" style="0" width="20"/>
    <col collapsed="false" customWidth="true" hidden="false" outlineLevel="0" max="5" min="5" style="0" width="84"/>
    <col collapsed="false" customWidth="true" hidden="false" outlineLevel="0" max="6" min="6" style="0" width="10"/>
    <col collapsed="false" customWidth="true" hidden="false" outlineLevel="0" max="7" min="7" style="0" width="12"/>
  </cols>
  <sheetData>
    <row r="2" customFormat="false" ht="30" hidden="false" customHeight="true" outlineLevel="0" collapsed="false">
      <c r="B2" s="1" t="s">
        <v>1603</v>
      </c>
      <c r="C2" s="1"/>
      <c r="D2" s="1"/>
      <c r="E2" s="1"/>
      <c r="F2" s="1"/>
      <c r="G2" s="1"/>
    </row>
    <row r="3" customFormat="false" ht="19.5" hidden="false" customHeight="true" outlineLevel="0" collapsed="false">
      <c r="B3" s="2" t="s">
        <v>1604</v>
      </c>
      <c r="C3" s="2"/>
      <c r="D3" s="2"/>
      <c r="E3" s="2"/>
      <c r="F3" s="2"/>
      <c r="G3" s="2"/>
    </row>
    <row r="4" customFormat="false" ht="6.75" hidden="false" customHeight="true" outlineLevel="0" collapsed="false"/>
    <row r="5" customFormat="false" ht="30" hidden="false" customHeight="true" outlineLevel="0" collapsed="false">
      <c r="B5" s="4" t="s">
        <v>1605</v>
      </c>
      <c r="C5" s="4"/>
      <c r="D5" s="4"/>
      <c r="E5" s="4"/>
      <c r="F5" s="4"/>
      <c r="G5" s="4"/>
    </row>
    <row r="6" customFormat="false" ht="6.75" hidden="false" customHeight="true" outlineLevel="0" collapsed="false"/>
    <row r="7" customFormat="false" ht="30" hidden="false" customHeight="true" outlineLevel="0" collapsed="false">
      <c r="B7" s="11" t="s">
        <v>176</v>
      </c>
      <c r="C7" s="11" t="s">
        <v>1606</v>
      </c>
      <c r="D7" s="11" t="s">
        <v>1607</v>
      </c>
      <c r="E7" s="11" t="s">
        <v>1608</v>
      </c>
      <c r="F7" s="11" t="s">
        <v>1141</v>
      </c>
      <c r="G7" s="11" t="s">
        <v>1609</v>
      </c>
    </row>
    <row r="8" customFormat="false" ht="27.75" hidden="false" customHeight="true" outlineLevel="0" collapsed="false">
      <c r="B8" s="84" t="s">
        <v>179</v>
      </c>
      <c r="C8" s="18" t="s">
        <v>1610</v>
      </c>
      <c r="D8" s="18" t="s">
        <v>35</v>
      </c>
      <c r="E8" s="13" t="s">
        <v>1611</v>
      </c>
      <c r="F8" s="85" t="s">
        <v>1612</v>
      </c>
      <c r="G8" s="12"/>
    </row>
    <row r="9" customFormat="false" ht="27.75" hidden="false" customHeight="true" outlineLevel="0" collapsed="false">
      <c r="B9" s="84" t="s">
        <v>185</v>
      </c>
      <c r="C9" s="18" t="s">
        <v>1610</v>
      </c>
      <c r="D9" s="18" t="s">
        <v>55</v>
      </c>
      <c r="E9" s="13" t="s">
        <v>1613</v>
      </c>
      <c r="F9" s="85" t="s">
        <v>1612</v>
      </c>
      <c r="G9" s="12"/>
    </row>
    <row r="10" customFormat="false" ht="27.75" hidden="false" customHeight="true" outlineLevel="0" collapsed="false">
      <c r="B10" s="84" t="s">
        <v>191</v>
      </c>
      <c r="C10" s="18" t="s">
        <v>1614</v>
      </c>
      <c r="D10" s="18" t="s">
        <v>61</v>
      </c>
      <c r="E10" s="13" t="s">
        <v>1615</v>
      </c>
      <c r="F10" s="85" t="s">
        <v>1612</v>
      </c>
      <c r="G10" s="12"/>
    </row>
    <row r="11" customFormat="false" ht="27.75" hidden="false" customHeight="true" outlineLevel="0" collapsed="false">
      <c r="B11" s="84" t="s">
        <v>197</v>
      </c>
      <c r="C11" s="18" t="s">
        <v>1616</v>
      </c>
      <c r="D11" s="18" t="s">
        <v>64</v>
      </c>
      <c r="E11" s="13" t="s">
        <v>1617</v>
      </c>
      <c r="F11" s="85" t="s">
        <v>1612</v>
      </c>
      <c r="G11" s="12"/>
    </row>
    <row r="12" customFormat="false" ht="27.75" hidden="false" customHeight="true" outlineLevel="0" collapsed="false">
      <c r="B12" s="84" t="s">
        <v>204</v>
      </c>
      <c r="C12" s="18" t="s">
        <v>1616</v>
      </c>
      <c r="D12" s="18" t="s">
        <v>64</v>
      </c>
      <c r="E12" s="13" t="s">
        <v>1618</v>
      </c>
      <c r="F12" s="86" t="s">
        <v>1619</v>
      </c>
      <c r="G12" s="12"/>
    </row>
    <row r="13" customFormat="false" ht="27.75" hidden="false" customHeight="true" outlineLevel="0" collapsed="false">
      <c r="B13" s="84" t="s">
        <v>211</v>
      </c>
      <c r="C13" s="18" t="s">
        <v>1044</v>
      </c>
      <c r="D13" s="18" t="s">
        <v>68</v>
      </c>
      <c r="E13" s="13" t="s">
        <v>1620</v>
      </c>
      <c r="F13" s="85" t="s">
        <v>1612</v>
      </c>
      <c r="G13" s="12"/>
    </row>
    <row r="14" customFormat="false" ht="27.75" hidden="false" customHeight="true" outlineLevel="0" collapsed="false">
      <c r="B14" s="84" t="s">
        <v>217</v>
      </c>
      <c r="C14" s="18" t="s">
        <v>1044</v>
      </c>
      <c r="D14" s="18" t="s">
        <v>68</v>
      </c>
      <c r="E14" s="13" t="s">
        <v>1621</v>
      </c>
      <c r="F14" s="86" t="s">
        <v>1619</v>
      </c>
      <c r="G14" s="12"/>
    </row>
    <row r="15" customFormat="false" ht="27.75" hidden="false" customHeight="true" outlineLevel="0" collapsed="false">
      <c r="B15" s="84" t="s">
        <v>224</v>
      </c>
      <c r="C15" s="18" t="s">
        <v>1044</v>
      </c>
      <c r="D15" s="18" t="s">
        <v>68</v>
      </c>
      <c r="E15" s="13" t="s">
        <v>1622</v>
      </c>
      <c r="F15" s="86" t="s">
        <v>1619</v>
      </c>
      <c r="G15" s="12"/>
    </row>
    <row r="16" customFormat="false" ht="27.75" hidden="false" customHeight="true" outlineLevel="0" collapsed="false">
      <c r="B16" s="84" t="s">
        <v>230</v>
      </c>
      <c r="C16" s="18" t="s">
        <v>1035</v>
      </c>
      <c r="D16" s="18" t="s">
        <v>53</v>
      </c>
      <c r="E16" s="13" t="s">
        <v>1623</v>
      </c>
      <c r="F16" s="86" t="s">
        <v>1619</v>
      </c>
      <c r="G16" s="12"/>
    </row>
    <row r="17" customFormat="false" ht="27.75" hidden="false" customHeight="true" outlineLevel="0" collapsed="false">
      <c r="B17" s="84" t="s">
        <v>237</v>
      </c>
      <c r="C17" s="18" t="s">
        <v>1035</v>
      </c>
      <c r="D17" s="18" t="s">
        <v>50</v>
      </c>
      <c r="E17" s="13" t="s">
        <v>1624</v>
      </c>
      <c r="F17" s="86" t="s">
        <v>1619</v>
      </c>
      <c r="G17" s="12"/>
    </row>
    <row r="18" customFormat="false" ht="27.75" hidden="false" customHeight="true" outlineLevel="0" collapsed="false">
      <c r="B18" s="84" t="s">
        <v>207</v>
      </c>
      <c r="C18" s="18" t="s">
        <v>1625</v>
      </c>
      <c r="D18" s="18" t="s">
        <v>70</v>
      </c>
      <c r="E18" s="13" t="s">
        <v>1626</v>
      </c>
      <c r="F18" s="85" t="s">
        <v>1612</v>
      </c>
      <c r="G18" s="12"/>
    </row>
    <row r="19" customFormat="false" ht="27.75" hidden="false" customHeight="true" outlineLevel="0" collapsed="false">
      <c r="B19" s="84" t="s">
        <v>214</v>
      </c>
      <c r="C19" s="18" t="s">
        <v>1627</v>
      </c>
      <c r="D19" s="18" t="s">
        <v>72</v>
      </c>
      <c r="E19" s="13" t="s">
        <v>1628</v>
      </c>
      <c r="F19" s="86" t="s">
        <v>1619</v>
      </c>
      <c r="G19" s="12"/>
    </row>
    <row r="20" customFormat="false" ht="27.75" hidden="false" customHeight="true" outlineLevel="0" collapsed="false">
      <c r="B20" s="84" t="s">
        <v>200</v>
      </c>
      <c r="C20" s="18" t="s">
        <v>1627</v>
      </c>
      <c r="D20" s="18" t="s">
        <v>72</v>
      </c>
      <c r="E20" s="13" t="s">
        <v>1629</v>
      </c>
      <c r="F20" s="86" t="s">
        <v>1619</v>
      </c>
      <c r="G20" s="12"/>
    </row>
    <row r="21" customFormat="false" ht="27.75" hidden="false" customHeight="true" outlineLevel="0" collapsed="false">
      <c r="B21" s="84" t="s">
        <v>220</v>
      </c>
      <c r="C21" s="18" t="s">
        <v>1627</v>
      </c>
      <c r="D21" s="18" t="s">
        <v>72</v>
      </c>
      <c r="E21" s="13" t="s">
        <v>1630</v>
      </c>
      <c r="F21" s="85" t="s">
        <v>1612</v>
      </c>
      <c r="G21" s="12"/>
    </row>
    <row r="22" customFormat="false" ht="27.75" hidden="false" customHeight="true" outlineLevel="0" collapsed="false">
      <c r="B22" s="84" t="s">
        <v>227</v>
      </c>
      <c r="C22" s="18" t="s">
        <v>1631</v>
      </c>
      <c r="D22" s="18" t="s">
        <v>74</v>
      </c>
      <c r="E22" s="13" t="s">
        <v>1632</v>
      </c>
      <c r="F22" s="86" t="s">
        <v>1619</v>
      </c>
      <c r="G22" s="12"/>
    </row>
    <row r="23" customFormat="false" ht="27.75" hidden="false" customHeight="true" outlineLevel="0" collapsed="false">
      <c r="B23" s="84" t="s">
        <v>233</v>
      </c>
      <c r="C23" s="18" t="s">
        <v>1631</v>
      </c>
      <c r="D23" s="18" t="s">
        <v>74</v>
      </c>
      <c r="E23" s="13" t="s">
        <v>1633</v>
      </c>
      <c r="F23" s="87" t="s">
        <v>1634</v>
      </c>
      <c r="G23" s="12"/>
    </row>
    <row r="24" customFormat="false" ht="27.75" hidden="false" customHeight="true" outlineLevel="0" collapsed="false">
      <c r="B24" s="84" t="s">
        <v>1635</v>
      </c>
      <c r="C24" s="18" t="s">
        <v>1636</v>
      </c>
      <c r="D24" s="18" t="s">
        <v>76</v>
      </c>
      <c r="E24" s="13" t="s">
        <v>1637</v>
      </c>
      <c r="F24" s="86" t="s">
        <v>1619</v>
      </c>
      <c r="G24" s="12"/>
    </row>
    <row r="25" customFormat="false" ht="27.75" hidden="false" customHeight="true" outlineLevel="0" collapsed="false">
      <c r="B25" s="84" t="s">
        <v>240</v>
      </c>
      <c r="C25" s="18" t="s">
        <v>1638</v>
      </c>
      <c r="D25" s="18" t="s">
        <v>80</v>
      </c>
      <c r="E25" s="13" t="s">
        <v>1639</v>
      </c>
      <c r="F25" s="85" t="s">
        <v>1612</v>
      </c>
      <c r="G25" s="12"/>
    </row>
    <row r="26" customFormat="false" ht="27.75" hidden="false" customHeight="true" outlineLevel="0" collapsed="false">
      <c r="B26" s="84" t="s">
        <v>244</v>
      </c>
      <c r="C26" s="18" t="s">
        <v>1067</v>
      </c>
      <c r="D26" s="18" t="s">
        <v>82</v>
      </c>
      <c r="E26" s="13" t="s">
        <v>1640</v>
      </c>
      <c r="F26" s="87" t="s">
        <v>1634</v>
      </c>
      <c r="G26" s="12"/>
    </row>
    <row r="27" customFormat="false" ht="27.75" hidden="false" customHeight="true" outlineLevel="0" collapsed="false">
      <c r="B27" s="84" t="s">
        <v>1641</v>
      </c>
      <c r="C27" s="18" t="s">
        <v>1642</v>
      </c>
      <c r="D27" s="18" t="s">
        <v>89</v>
      </c>
      <c r="E27" s="13" t="s">
        <v>1643</v>
      </c>
      <c r="F27" s="86" t="s">
        <v>1619</v>
      </c>
      <c r="G27" s="12"/>
    </row>
    <row r="28" customFormat="false" ht="27.75" hidden="false" customHeight="true" outlineLevel="0" collapsed="false">
      <c r="B28" s="84" t="s">
        <v>203</v>
      </c>
      <c r="C28" s="18" t="s">
        <v>1642</v>
      </c>
      <c r="D28" s="18" t="s">
        <v>91</v>
      </c>
      <c r="E28" s="13" t="s">
        <v>1644</v>
      </c>
      <c r="F28" s="87" t="s">
        <v>1634</v>
      </c>
      <c r="G28" s="12"/>
    </row>
    <row r="29" customFormat="false" ht="27.75" hidden="false" customHeight="true" outlineLevel="0" collapsed="false">
      <c r="B29" s="84" t="s">
        <v>184</v>
      </c>
      <c r="C29" s="18" t="s">
        <v>1642</v>
      </c>
      <c r="D29" s="18" t="s">
        <v>89</v>
      </c>
      <c r="E29" s="13" t="s">
        <v>1645</v>
      </c>
      <c r="F29" s="86" t="s">
        <v>1619</v>
      </c>
      <c r="G29" s="12"/>
    </row>
    <row r="30" customFormat="false" ht="27.75" hidden="false" customHeight="true" outlineLevel="0" collapsed="false">
      <c r="B30" s="84" t="s">
        <v>210</v>
      </c>
      <c r="C30" s="18" t="s">
        <v>1646</v>
      </c>
      <c r="D30" s="18" t="s">
        <v>99</v>
      </c>
      <c r="E30" s="13" t="s">
        <v>1647</v>
      </c>
      <c r="F30" s="86" t="s">
        <v>1619</v>
      </c>
      <c r="G30" s="12"/>
    </row>
    <row r="31" customFormat="false" ht="27.75" hidden="false" customHeight="true" outlineLevel="0" collapsed="false">
      <c r="B31" s="84" t="s">
        <v>1648</v>
      </c>
      <c r="C31" s="18" t="s">
        <v>1646</v>
      </c>
      <c r="D31" s="18" t="s">
        <v>99</v>
      </c>
      <c r="E31" s="13" t="s">
        <v>1649</v>
      </c>
      <c r="F31" s="87" t="s">
        <v>1634</v>
      </c>
      <c r="G31" s="12"/>
    </row>
    <row r="32" customFormat="false" ht="27.75" hidden="false" customHeight="true" outlineLevel="0" collapsed="false">
      <c r="B32" s="84" t="s">
        <v>236</v>
      </c>
      <c r="C32" s="18" t="s">
        <v>1650</v>
      </c>
      <c r="D32" s="18" t="s">
        <v>103</v>
      </c>
      <c r="E32" s="13" t="s">
        <v>1651</v>
      </c>
      <c r="F32" s="87" t="s">
        <v>1634</v>
      </c>
      <c r="G32" s="12"/>
    </row>
    <row r="33" customFormat="false" ht="27.75" hidden="false" customHeight="true" outlineLevel="0" collapsed="false">
      <c r="B33" s="84" t="s">
        <v>1652</v>
      </c>
      <c r="C33" s="18" t="s">
        <v>1650</v>
      </c>
      <c r="D33" s="18" t="s">
        <v>101</v>
      </c>
      <c r="E33" s="13" t="s">
        <v>1653</v>
      </c>
      <c r="F33" s="87" t="s">
        <v>1634</v>
      </c>
      <c r="G33" s="12"/>
    </row>
  </sheetData>
  <mergeCells count="3">
    <mergeCell ref="B2:G2"/>
    <mergeCell ref="B3:G3"/>
    <mergeCell ref="B5:G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
    <col collapsed="false" customWidth="true" hidden="false" outlineLevel="0" max="3" min="3" style="0" width="130"/>
  </cols>
  <sheetData>
    <row r="2" customFormat="false" ht="30" hidden="false" customHeight="true" outlineLevel="0" collapsed="false">
      <c r="B2" s="1" t="s">
        <v>1654</v>
      </c>
      <c r="C2" s="1"/>
    </row>
    <row r="3" customFormat="false" ht="19.5" hidden="false" customHeight="true" outlineLevel="0" collapsed="false">
      <c r="B3" s="2" t="s">
        <v>1655</v>
      </c>
      <c r="C3" s="2"/>
    </row>
    <row r="4" customFormat="false" ht="6.75" hidden="false" customHeight="true" outlineLevel="0" collapsed="false"/>
    <row r="5" customFormat="false" ht="30" hidden="false" customHeight="true" outlineLevel="0" collapsed="false">
      <c r="B5" s="11" t="s">
        <v>176</v>
      </c>
      <c r="C5" s="11" t="s">
        <v>885</v>
      </c>
    </row>
    <row r="6" customFormat="false" ht="45" hidden="false" customHeight="true" outlineLevel="0" collapsed="false">
      <c r="B6" s="84" t="s">
        <v>179</v>
      </c>
      <c r="C6" s="13" t="s">
        <v>1656</v>
      </c>
    </row>
    <row r="7" customFormat="false" ht="45" hidden="false" customHeight="true" outlineLevel="0" collapsed="false">
      <c r="B7" s="84" t="s">
        <v>185</v>
      </c>
      <c r="C7" s="13" t="s">
        <v>1657</v>
      </c>
    </row>
    <row r="8" customFormat="false" ht="45" hidden="false" customHeight="true" outlineLevel="0" collapsed="false">
      <c r="B8" s="84" t="s">
        <v>191</v>
      </c>
      <c r="C8" s="13" t="s">
        <v>1658</v>
      </c>
    </row>
    <row r="9" customFormat="false" ht="31.5" hidden="false" customHeight="true" outlineLevel="0" collapsed="false">
      <c r="B9" s="84" t="s">
        <v>197</v>
      </c>
      <c r="C9" s="13" t="s">
        <v>1659</v>
      </c>
    </row>
    <row r="10" customFormat="false" ht="45" hidden="false" customHeight="true" outlineLevel="0" collapsed="false">
      <c r="B10" s="84" t="s">
        <v>204</v>
      </c>
      <c r="C10" s="13" t="s">
        <v>1660</v>
      </c>
    </row>
    <row r="11" customFormat="false" ht="45" hidden="false" customHeight="true" outlineLevel="0" collapsed="false">
      <c r="B11" s="84" t="s">
        <v>211</v>
      </c>
      <c r="C11" s="13" t="s">
        <v>1661</v>
      </c>
    </row>
    <row r="12" customFormat="false" ht="57.75" hidden="false" customHeight="true" outlineLevel="0" collapsed="false">
      <c r="B12" s="84" t="s">
        <v>217</v>
      </c>
      <c r="C12" s="13" t="s">
        <v>1662</v>
      </c>
    </row>
    <row r="13" customFormat="false" ht="45" hidden="false" customHeight="true" outlineLevel="0" collapsed="false">
      <c r="B13" s="84" t="s">
        <v>224</v>
      </c>
      <c r="C13" s="13" t="s">
        <v>1663</v>
      </c>
    </row>
    <row r="14" customFormat="false" ht="45" hidden="false" customHeight="true" outlineLevel="0" collapsed="false">
      <c r="B14" s="84" t="s">
        <v>230</v>
      </c>
      <c r="C14" s="13" t="s">
        <v>1664</v>
      </c>
    </row>
    <row r="15" customFormat="false" ht="57.75" hidden="false" customHeight="true" outlineLevel="0" collapsed="false">
      <c r="B15" s="84" t="s">
        <v>237</v>
      </c>
      <c r="C15" s="13" t="s">
        <v>1665</v>
      </c>
    </row>
    <row r="16" customFormat="false" ht="45" hidden="false" customHeight="true" outlineLevel="0" collapsed="false">
      <c r="B16" s="84" t="s">
        <v>207</v>
      </c>
      <c r="C16" s="13" t="s">
        <v>1666</v>
      </c>
    </row>
    <row r="17" customFormat="false" ht="45" hidden="false" customHeight="true" outlineLevel="0" collapsed="false">
      <c r="B17" s="84" t="s">
        <v>214</v>
      </c>
      <c r="C17" s="13" t="s">
        <v>1667</v>
      </c>
    </row>
    <row r="18" customFormat="false" ht="45" hidden="false" customHeight="true" outlineLevel="0" collapsed="false">
      <c r="B18" s="84" t="s">
        <v>200</v>
      </c>
      <c r="C18" s="13" t="s">
        <v>1668</v>
      </c>
    </row>
    <row r="19" customFormat="false" ht="45" hidden="false" customHeight="true" outlineLevel="0" collapsed="false">
      <c r="B19" s="84" t="s">
        <v>220</v>
      </c>
      <c r="C19" s="13" t="s">
        <v>1669</v>
      </c>
    </row>
    <row r="20" customFormat="false" ht="45" hidden="false" customHeight="true" outlineLevel="0" collapsed="false">
      <c r="B20" s="84" t="s">
        <v>227</v>
      </c>
      <c r="C20" s="13" t="s">
        <v>1670</v>
      </c>
    </row>
    <row r="21" customFormat="false" ht="84" hidden="false" customHeight="true" outlineLevel="0" collapsed="false">
      <c r="B21" s="84" t="s">
        <v>233</v>
      </c>
      <c r="C21" s="13" t="s">
        <v>1671</v>
      </c>
    </row>
    <row r="22" customFormat="false" ht="57.75" hidden="false" customHeight="true" outlineLevel="0" collapsed="false">
      <c r="B22" s="84" t="s">
        <v>1635</v>
      </c>
      <c r="C22" s="13" t="s">
        <v>1672</v>
      </c>
    </row>
    <row r="23" customFormat="false" ht="45" hidden="false" customHeight="true" outlineLevel="0" collapsed="false">
      <c r="B23" s="84" t="s">
        <v>240</v>
      </c>
      <c r="C23" s="13" t="s">
        <v>1673</v>
      </c>
    </row>
    <row r="24" customFormat="false" ht="57.75" hidden="false" customHeight="true" outlineLevel="0" collapsed="false">
      <c r="B24" s="84" t="s">
        <v>244</v>
      </c>
      <c r="C24" s="13" t="s">
        <v>1674</v>
      </c>
    </row>
    <row r="25" customFormat="false" ht="45" hidden="false" customHeight="true" outlineLevel="0" collapsed="false">
      <c r="B25" s="84" t="s">
        <v>1641</v>
      </c>
      <c r="C25" s="13" t="s">
        <v>1675</v>
      </c>
    </row>
    <row r="26" customFormat="false" ht="57.75" hidden="false" customHeight="true" outlineLevel="0" collapsed="false">
      <c r="B26" s="84" t="s">
        <v>203</v>
      </c>
      <c r="C26" s="13" t="s">
        <v>1676</v>
      </c>
    </row>
    <row r="27" customFormat="false" ht="57.75" hidden="false" customHeight="true" outlineLevel="0" collapsed="false">
      <c r="B27" s="84" t="s">
        <v>184</v>
      </c>
      <c r="C27" s="13" t="s">
        <v>1677</v>
      </c>
    </row>
    <row r="28" customFormat="false" ht="45" hidden="false" customHeight="true" outlineLevel="0" collapsed="false">
      <c r="B28" s="84" t="s">
        <v>210</v>
      </c>
      <c r="C28" s="13" t="s">
        <v>1678</v>
      </c>
    </row>
    <row r="29" customFormat="false" ht="57.75" hidden="false" customHeight="true" outlineLevel="0" collapsed="false">
      <c r="B29" s="84" t="s">
        <v>1648</v>
      </c>
      <c r="C29" s="13" t="s">
        <v>1679</v>
      </c>
    </row>
    <row r="30" customFormat="false" ht="57.75" hidden="false" customHeight="true" outlineLevel="0" collapsed="false">
      <c r="B30" s="84" t="s">
        <v>236</v>
      </c>
      <c r="C30" s="13" t="s">
        <v>1680</v>
      </c>
    </row>
    <row r="31" customFormat="false" ht="109.5" hidden="false" customHeight="true" outlineLevel="0" collapsed="false">
      <c r="B31" s="84" t="s">
        <v>1652</v>
      </c>
      <c r="C31" s="13" t="s">
        <v>1681</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C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108"/>
  </cols>
  <sheetData>
    <row r="2" customFormat="false" ht="30" hidden="false" customHeight="true" outlineLevel="0" collapsed="false">
      <c r="B2" s="1" t="s">
        <v>1682</v>
      </c>
      <c r="C2" s="1"/>
    </row>
    <row r="3" customFormat="false" ht="19.5" hidden="false" customHeight="true" outlineLevel="0" collapsed="false">
      <c r="B3" s="2" t="s">
        <v>113</v>
      </c>
      <c r="C3" s="2"/>
    </row>
    <row r="4" customFormat="false" ht="6.75" hidden="false" customHeight="true" outlineLevel="0" collapsed="false"/>
    <row r="5" customFormat="false" ht="30" hidden="false" customHeight="true" outlineLevel="0" collapsed="false">
      <c r="B5" s="11" t="s">
        <v>1683</v>
      </c>
      <c r="C5" s="11" t="s">
        <v>19</v>
      </c>
    </row>
    <row r="6" customFormat="false" ht="28.5" hidden="false" customHeight="true" outlineLevel="0" collapsed="false">
      <c r="B6" s="26" t="s">
        <v>1684</v>
      </c>
      <c r="C6" s="13" t="s">
        <v>1685</v>
      </c>
    </row>
    <row r="7" customFormat="false" ht="28.5" hidden="false" customHeight="true" outlineLevel="0" collapsed="false">
      <c r="B7" s="26" t="s">
        <v>1625</v>
      </c>
      <c r="C7" s="13" t="s">
        <v>1686</v>
      </c>
    </row>
    <row r="8" customFormat="false" ht="28.5" hidden="false" customHeight="true" outlineLevel="0" collapsed="false">
      <c r="B8" s="26" t="s">
        <v>1687</v>
      </c>
      <c r="C8" s="13" t="s">
        <v>1688</v>
      </c>
    </row>
    <row r="9" customFormat="false" ht="15.75" hidden="false" customHeight="true" outlineLevel="0" collapsed="false">
      <c r="B9" s="26" t="s">
        <v>1689</v>
      </c>
      <c r="C9" s="13" t="s">
        <v>1690</v>
      </c>
    </row>
    <row r="10" customFormat="false" ht="28.5" hidden="false" customHeight="true" outlineLevel="0" collapsed="false">
      <c r="B10" s="26" t="s">
        <v>1691</v>
      </c>
      <c r="C10" s="13" t="s">
        <v>1692</v>
      </c>
    </row>
    <row r="11" customFormat="false" ht="15.75" hidden="false" customHeight="true" outlineLevel="0" collapsed="false">
      <c r="B11" s="26" t="s">
        <v>1693</v>
      </c>
      <c r="C11" s="13" t="s">
        <v>1694</v>
      </c>
    </row>
    <row r="12" customFormat="false" ht="28.5" hidden="false" customHeight="true" outlineLevel="0" collapsed="false">
      <c r="B12" s="26" t="s">
        <v>1627</v>
      </c>
      <c r="C12" s="13" t="s">
        <v>1695</v>
      </c>
    </row>
    <row r="13" customFormat="false" ht="15.75" hidden="false" customHeight="true" outlineLevel="0" collapsed="false">
      <c r="B13" s="26" t="s">
        <v>186</v>
      </c>
      <c r="C13" s="13" t="s">
        <v>1696</v>
      </c>
    </row>
    <row r="14" customFormat="false" ht="15.75" hidden="false" customHeight="true" outlineLevel="0" collapsed="false">
      <c r="B14" s="26" t="s">
        <v>1697</v>
      </c>
      <c r="C14" s="13" t="s">
        <v>1698</v>
      </c>
    </row>
    <row r="15" customFormat="false" ht="15.75" hidden="false" customHeight="true" outlineLevel="0" collapsed="false">
      <c r="B15" s="26" t="s">
        <v>1699</v>
      </c>
      <c r="C15" s="13" t="s">
        <v>1700</v>
      </c>
    </row>
    <row r="16" customFormat="false" ht="28.5" hidden="false" customHeight="true" outlineLevel="0" collapsed="false">
      <c r="B16" s="26" t="s">
        <v>670</v>
      </c>
      <c r="C16" s="13" t="s">
        <v>1701</v>
      </c>
    </row>
    <row r="17" customFormat="false" ht="15.75" hidden="false" customHeight="true" outlineLevel="0" collapsed="false">
      <c r="B17" s="26" t="s">
        <v>1702</v>
      </c>
      <c r="C17" s="13" t="s">
        <v>1703</v>
      </c>
    </row>
    <row r="18" customFormat="false" ht="15.75" hidden="false" customHeight="true" outlineLevel="0" collapsed="false">
      <c r="B18" s="26" t="s">
        <v>1704</v>
      </c>
      <c r="C18" s="13" t="s">
        <v>1705</v>
      </c>
    </row>
    <row r="19" customFormat="false" ht="15.75" hidden="false" customHeight="true" outlineLevel="0" collapsed="false">
      <c r="B19" s="26" t="s">
        <v>1706</v>
      </c>
      <c r="C19" s="13" t="s">
        <v>1707</v>
      </c>
    </row>
    <row r="20" customFormat="false" ht="15.75" hidden="false" customHeight="true" outlineLevel="0" collapsed="false">
      <c r="B20" s="26" t="s">
        <v>1358</v>
      </c>
      <c r="C20" s="13" t="s">
        <v>1708</v>
      </c>
    </row>
    <row r="21" customFormat="false" ht="15.75" hidden="false" customHeight="true" outlineLevel="0" collapsed="false">
      <c r="B21" s="26" t="s">
        <v>673</v>
      </c>
      <c r="C21" s="13" t="s">
        <v>1709</v>
      </c>
    </row>
    <row r="22" customFormat="false" ht="15.75" hidden="false" customHeight="true" outlineLevel="0" collapsed="false">
      <c r="B22" s="26" t="s">
        <v>1710</v>
      </c>
      <c r="C22" s="13" t="s">
        <v>1711</v>
      </c>
    </row>
    <row r="23" customFormat="false" ht="15.75" hidden="false" customHeight="true" outlineLevel="0" collapsed="false">
      <c r="B23" s="26" t="s">
        <v>1712</v>
      </c>
      <c r="C23" s="13" t="s">
        <v>1713</v>
      </c>
    </row>
    <row r="24" customFormat="false" ht="28.5" hidden="false" customHeight="true" outlineLevel="0" collapsed="false">
      <c r="B24" s="26" t="s">
        <v>1714</v>
      </c>
      <c r="C24" s="13" t="s">
        <v>1715</v>
      </c>
    </row>
    <row r="25" customFormat="false" ht="15.75" hidden="false" customHeight="true" outlineLevel="0" collapsed="false">
      <c r="B25" s="26" t="s">
        <v>1716</v>
      </c>
      <c r="C25" s="13" t="s">
        <v>1717</v>
      </c>
    </row>
    <row r="26" customFormat="false" ht="15.75" hidden="false" customHeight="true" outlineLevel="0" collapsed="false">
      <c r="B26" s="26" t="s">
        <v>1718</v>
      </c>
      <c r="C26" s="13" t="s">
        <v>1719</v>
      </c>
    </row>
    <row r="27" customFormat="false" ht="28.5" hidden="false" customHeight="true" outlineLevel="0" collapsed="false">
      <c r="B27" s="26" t="s">
        <v>1720</v>
      </c>
      <c r="C27" s="13" t="s">
        <v>1721</v>
      </c>
    </row>
    <row r="28" customFormat="false" ht="15.75" hidden="false" customHeight="true" outlineLevel="0" collapsed="false">
      <c r="B28" s="26" t="s">
        <v>1722</v>
      </c>
      <c r="C28" s="13" t="s">
        <v>1723</v>
      </c>
    </row>
    <row r="29" customFormat="false" ht="15.75" hidden="false" customHeight="true" outlineLevel="0" collapsed="false">
      <c r="B29" s="26" t="s">
        <v>1724</v>
      </c>
      <c r="C29" s="13" t="s">
        <v>1725</v>
      </c>
    </row>
    <row r="30" customFormat="false" ht="28.5" hidden="false" customHeight="true" outlineLevel="0" collapsed="false">
      <c r="B30" s="26" t="s">
        <v>1726</v>
      </c>
      <c r="C30" s="13" t="s">
        <v>1727</v>
      </c>
    </row>
    <row r="31" customFormat="false" ht="15.75" hidden="false" customHeight="true" outlineLevel="0" collapsed="false">
      <c r="B31" s="26" t="s">
        <v>1728</v>
      </c>
      <c r="C31" s="13" t="s">
        <v>1729</v>
      </c>
    </row>
    <row r="32" customFormat="false" ht="15.75" hidden="false" customHeight="true" outlineLevel="0" collapsed="false">
      <c r="B32" s="26" t="s">
        <v>708</v>
      </c>
      <c r="C32" s="13" t="s">
        <v>1730</v>
      </c>
    </row>
    <row r="33" customFormat="false" ht="15.75" hidden="false" customHeight="true" outlineLevel="0" collapsed="false">
      <c r="B33" s="26" t="s">
        <v>809</v>
      </c>
      <c r="C33" s="13" t="s">
        <v>1731</v>
      </c>
    </row>
    <row r="34" customFormat="false" ht="15.75" hidden="false" customHeight="true" outlineLevel="0" collapsed="false">
      <c r="B34" s="26" t="s">
        <v>198</v>
      </c>
      <c r="C34" s="13" t="s">
        <v>1732</v>
      </c>
    </row>
    <row r="35" customFormat="false" ht="15.75" hidden="false" customHeight="true" outlineLevel="0" collapsed="false">
      <c r="B35" s="26" t="s">
        <v>1733</v>
      </c>
      <c r="C35" s="13" t="s">
        <v>1734</v>
      </c>
    </row>
    <row r="36" customFormat="false" ht="15.75" hidden="false" customHeight="true" outlineLevel="0" collapsed="false">
      <c r="B36" s="26" t="s">
        <v>1735</v>
      </c>
      <c r="C36" s="13" t="s">
        <v>1736</v>
      </c>
    </row>
    <row r="37" customFormat="false" ht="15.75" hidden="false" customHeight="true" outlineLevel="0" collapsed="false">
      <c r="B37" s="26" t="s">
        <v>1737</v>
      </c>
      <c r="C37" s="13" t="s">
        <v>1738</v>
      </c>
    </row>
    <row r="38" customFormat="false" ht="15.75" hidden="false" customHeight="true" outlineLevel="0" collapsed="false">
      <c r="B38" s="26" t="s">
        <v>1739</v>
      </c>
      <c r="C38" s="13" t="s">
        <v>1740</v>
      </c>
    </row>
    <row r="39" customFormat="false" ht="15.75" hidden="false" customHeight="true" outlineLevel="0" collapsed="false">
      <c r="B39" s="26" t="s">
        <v>1741</v>
      </c>
      <c r="C39" s="13" t="s">
        <v>1742</v>
      </c>
    </row>
    <row r="40" customFormat="false" ht="28.5" hidden="false" customHeight="true" outlineLevel="0" collapsed="false">
      <c r="B40" s="26" t="s">
        <v>1743</v>
      </c>
      <c r="C40" s="13" t="s">
        <v>1744</v>
      </c>
    </row>
    <row r="41" customFormat="false" ht="15.75" hidden="false" customHeight="true" outlineLevel="0" collapsed="false">
      <c r="B41" s="26" t="s">
        <v>1448</v>
      </c>
      <c r="C41" s="13" t="s">
        <v>1745</v>
      </c>
    </row>
    <row r="42" customFormat="false" ht="15.75" hidden="false" customHeight="true" outlineLevel="0" collapsed="false">
      <c r="B42" s="26" t="s">
        <v>1746</v>
      </c>
      <c r="C42" s="13" t="s">
        <v>1747</v>
      </c>
    </row>
    <row r="43" customFormat="false" ht="15.75" hidden="false" customHeight="true" outlineLevel="0" collapsed="false">
      <c r="B43" s="26" t="s">
        <v>1140</v>
      </c>
      <c r="C43" s="13" t="s">
        <v>1748</v>
      </c>
    </row>
    <row r="44" customFormat="false" ht="15.75" hidden="false" customHeight="true" outlineLevel="0" collapsed="false">
      <c r="B44" s="26" t="s">
        <v>1749</v>
      </c>
      <c r="C44" s="13" t="s">
        <v>1750</v>
      </c>
    </row>
    <row r="45" customFormat="false" ht="28.5" hidden="false" customHeight="true" outlineLevel="0" collapsed="false">
      <c r="B45" s="26" t="s">
        <v>1531</v>
      </c>
      <c r="C45" s="13" t="s">
        <v>1751</v>
      </c>
    </row>
    <row r="46" customFormat="false" ht="15.75" hidden="false" customHeight="true" outlineLevel="0" collapsed="false">
      <c r="B46" s="26" t="s">
        <v>1752</v>
      </c>
      <c r="C46" s="13" t="s">
        <v>1753</v>
      </c>
    </row>
    <row r="47" customFormat="false" ht="15.75" hidden="false" customHeight="true" outlineLevel="0" collapsed="false">
      <c r="B47" s="26" t="s">
        <v>1754</v>
      </c>
      <c r="C47" s="13" t="s">
        <v>1755</v>
      </c>
    </row>
    <row r="48" customFormat="false" ht="15.75" hidden="false" customHeight="true" outlineLevel="0" collapsed="false">
      <c r="B48" s="26" t="s">
        <v>1445</v>
      </c>
      <c r="C48" s="13" t="s">
        <v>1756</v>
      </c>
    </row>
    <row r="49" customFormat="false" ht="15.75" hidden="false" customHeight="true" outlineLevel="0" collapsed="false">
      <c r="B49" s="26" t="s">
        <v>1757</v>
      </c>
      <c r="C49" s="13" t="s">
        <v>1758</v>
      </c>
    </row>
    <row r="50" customFormat="false" ht="15.75" hidden="false" customHeight="true" outlineLevel="0" collapsed="false">
      <c r="B50" s="26" t="s">
        <v>1759</v>
      </c>
      <c r="C50" s="13" t="s">
        <v>1760</v>
      </c>
    </row>
    <row r="51" customFormat="false" ht="15.75" hidden="false" customHeight="true" outlineLevel="0" collapsed="false">
      <c r="B51" s="26" t="s">
        <v>711</v>
      </c>
      <c r="C51" s="13" t="s">
        <v>1761</v>
      </c>
    </row>
    <row r="52" customFormat="false" ht="15.75" hidden="false" customHeight="true" outlineLevel="0" collapsed="false">
      <c r="B52" s="26" t="s">
        <v>1762</v>
      </c>
      <c r="C52" s="13" t="s">
        <v>1763</v>
      </c>
    </row>
    <row r="53" customFormat="false" ht="15.75" hidden="false" customHeight="true" outlineLevel="0" collapsed="false">
      <c r="B53" s="26" t="s">
        <v>1764</v>
      </c>
      <c r="C53" s="13" t="s">
        <v>1765</v>
      </c>
    </row>
    <row r="54" customFormat="false" ht="15.75" hidden="false" customHeight="true" outlineLevel="0" collapsed="false">
      <c r="B54" s="26" t="s">
        <v>1766</v>
      </c>
      <c r="C54" s="13" t="s">
        <v>1767</v>
      </c>
    </row>
    <row r="55" customFormat="false" ht="28.5" hidden="false" customHeight="true" outlineLevel="0" collapsed="false">
      <c r="B55" s="26" t="s">
        <v>1768</v>
      </c>
      <c r="C55" s="13" t="s">
        <v>1769</v>
      </c>
    </row>
    <row r="56" customFormat="false" ht="15.75" hidden="false" customHeight="true" outlineLevel="0" collapsed="false">
      <c r="B56" s="26" t="s">
        <v>1442</v>
      </c>
      <c r="C56" s="13" t="s">
        <v>1770</v>
      </c>
    </row>
    <row r="57" customFormat="false" ht="15.75" hidden="false" customHeight="true" outlineLevel="0" collapsed="false">
      <c r="B57" s="26" t="s">
        <v>1636</v>
      </c>
      <c r="C57" s="13" t="s">
        <v>1771</v>
      </c>
    </row>
    <row r="58" customFormat="false" ht="15.75" hidden="false" customHeight="true" outlineLevel="0" collapsed="false">
      <c r="B58" s="26" t="s">
        <v>1772</v>
      </c>
      <c r="C58" s="13" t="s">
        <v>1773</v>
      </c>
    </row>
    <row r="59" customFormat="false" ht="28.5" hidden="false" customHeight="true" outlineLevel="0" collapsed="false">
      <c r="B59" s="26" t="s">
        <v>1774</v>
      </c>
      <c r="C59" s="13" t="s">
        <v>1775</v>
      </c>
    </row>
    <row r="60" customFormat="false" ht="15.75" hidden="false" customHeight="true" outlineLevel="0" collapsed="false">
      <c r="B60" s="26" t="s">
        <v>1776</v>
      </c>
      <c r="C60" s="13" t="s">
        <v>1777</v>
      </c>
    </row>
    <row r="61" customFormat="false" ht="15.75" hidden="false" customHeight="true" outlineLevel="0" collapsed="false">
      <c r="B61" s="26" t="s">
        <v>1778</v>
      </c>
      <c r="C61" s="13" t="s">
        <v>1779</v>
      </c>
    </row>
    <row r="62" customFormat="false" ht="15.75" hidden="false" customHeight="true" outlineLevel="0" collapsed="false">
      <c r="B62" s="26" t="s">
        <v>1780</v>
      </c>
      <c r="C62" s="13" t="s">
        <v>1781</v>
      </c>
    </row>
    <row r="63" customFormat="false" ht="15.75" hidden="false" customHeight="true" outlineLevel="0" collapsed="false">
      <c r="B63" s="26" t="s">
        <v>1782</v>
      </c>
      <c r="C63" s="13" t="s">
        <v>1783</v>
      </c>
    </row>
    <row r="64" customFormat="false" ht="15.75" hidden="false" customHeight="true" outlineLevel="0" collapsed="false">
      <c r="B64" s="26" t="s">
        <v>1784</v>
      </c>
      <c r="C64" s="13" t="s">
        <v>1785</v>
      </c>
    </row>
    <row r="65" customFormat="false" ht="15.75" hidden="false" customHeight="true" outlineLevel="0" collapsed="false">
      <c r="B65" s="26" t="s">
        <v>1786</v>
      </c>
      <c r="C65" s="13" t="s">
        <v>1787</v>
      </c>
    </row>
    <row r="66" customFormat="false" ht="28.5" hidden="false" customHeight="true" outlineLevel="0" collapsed="false">
      <c r="B66" s="26" t="s">
        <v>1788</v>
      </c>
      <c r="C66" s="13" t="s">
        <v>1789</v>
      </c>
    </row>
    <row r="67" customFormat="false" ht="15.75" hidden="false" customHeight="true" outlineLevel="0" collapsed="false">
      <c r="B67" s="26" t="s">
        <v>1790</v>
      </c>
      <c r="C67" s="13" t="s">
        <v>1791</v>
      </c>
    </row>
    <row r="68" customFormat="false" ht="15.75" hidden="false" customHeight="true" outlineLevel="0" collapsed="false">
      <c r="B68" s="26" t="s">
        <v>1792</v>
      </c>
      <c r="C68" s="13" t="s">
        <v>1793</v>
      </c>
    </row>
    <row r="69" customFormat="false" ht="15.75" hidden="false" customHeight="true" outlineLevel="0" collapsed="false">
      <c r="B69" s="26" t="s">
        <v>7</v>
      </c>
      <c r="C69" s="13" t="s">
        <v>1794</v>
      </c>
    </row>
    <row r="70" customFormat="false" ht="28.5" hidden="false" customHeight="true" outlineLevel="0" collapsed="false">
      <c r="B70" s="26" t="s">
        <v>1795</v>
      </c>
      <c r="C70" s="13" t="s">
        <v>1796</v>
      </c>
    </row>
    <row r="71" customFormat="false" ht="15.75" hidden="false" customHeight="true" outlineLevel="0" collapsed="false">
      <c r="B71" s="26" t="s">
        <v>215</v>
      </c>
      <c r="C71" s="13" t="s">
        <v>1797</v>
      </c>
    </row>
    <row r="72" customFormat="false" ht="15.75" hidden="false" customHeight="true" outlineLevel="0" collapsed="false">
      <c r="B72" s="26" t="s">
        <v>1798</v>
      </c>
      <c r="C72" s="13" t="s">
        <v>1799</v>
      </c>
    </row>
    <row r="73" customFormat="false" ht="15.75" hidden="false" customHeight="true" outlineLevel="0" collapsed="false">
      <c r="B73" s="26" t="s">
        <v>1800</v>
      </c>
      <c r="C73" s="13" t="s">
        <v>1801</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26"/>
    <col collapsed="false" customWidth="true" hidden="false" outlineLevel="0" max="4" min="4" style="0" width="62"/>
    <col collapsed="false" customWidth="true" hidden="false" outlineLevel="0" max="5" min="5" style="0" width="46"/>
  </cols>
  <sheetData>
    <row r="2" customFormat="false" ht="30" hidden="false" customHeight="true" outlineLevel="0" collapsed="false">
      <c r="B2" s="1" t="s">
        <v>1802</v>
      </c>
      <c r="C2" s="1"/>
      <c r="D2" s="1"/>
      <c r="E2" s="1"/>
    </row>
    <row r="3" customFormat="false" ht="19.5" hidden="false" customHeight="true" outlineLevel="0" collapsed="false">
      <c r="B3" s="2" t="s">
        <v>1803</v>
      </c>
      <c r="C3" s="2"/>
      <c r="D3" s="2"/>
      <c r="E3" s="2"/>
    </row>
    <row r="4" customFormat="false" ht="6.75" hidden="false" customHeight="true" outlineLevel="0" collapsed="false"/>
    <row r="5" customFormat="false" ht="30" hidden="false" customHeight="true" outlineLevel="0" collapsed="false">
      <c r="B5" s="4" t="s">
        <v>1804</v>
      </c>
      <c r="C5" s="4"/>
      <c r="D5" s="4"/>
      <c r="E5" s="4"/>
    </row>
    <row r="6" customFormat="false" ht="6.75" hidden="false" customHeight="true" outlineLevel="0" collapsed="false"/>
    <row r="7" customFormat="false" ht="30" hidden="false" customHeight="true" outlineLevel="0" collapsed="false">
      <c r="B7" s="11" t="s">
        <v>1805</v>
      </c>
      <c r="C7" s="11" t="s">
        <v>1608</v>
      </c>
      <c r="D7" s="11" t="s">
        <v>1806</v>
      </c>
      <c r="E7" s="11" t="s">
        <v>1807</v>
      </c>
    </row>
    <row r="8" customFormat="false" ht="51.75" hidden="false" customHeight="true" outlineLevel="0" collapsed="false">
      <c r="B8" s="84" t="s">
        <v>179</v>
      </c>
      <c r="C8" s="26" t="s">
        <v>1808</v>
      </c>
      <c r="D8" s="13" t="s">
        <v>1809</v>
      </c>
      <c r="E8" s="13" t="s">
        <v>1810</v>
      </c>
    </row>
    <row r="9" customFormat="false" ht="51.75" hidden="false" customHeight="true" outlineLevel="0" collapsed="false">
      <c r="B9" s="84" t="s">
        <v>185</v>
      </c>
      <c r="C9" s="26" t="s">
        <v>1811</v>
      </c>
      <c r="D9" s="13" t="s">
        <v>1812</v>
      </c>
      <c r="E9" s="13" t="s">
        <v>1813</v>
      </c>
    </row>
    <row r="10" customFormat="false" ht="51.75" hidden="false" customHeight="true" outlineLevel="0" collapsed="false">
      <c r="B10" s="84" t="s">
        <v>191</v>
      </c>
      <c r="C10" s="26" t="s">
        <v>1814</v>
      </c>
      <c r="D10" s="13" t="s">
        <v>1815</v>
      </c>
      <c r="E10" s="13" t="s">
        <v>1816</v>
      </c>
    </row>
    <row r="11" customFormat="false" ht="51.75" hidden="false" customHeight="true" outlineLevel="0" collapsed="false">
      <c r="B11" s="84" t="s">
        <v>197</v>
      </c>
      <c r="C11" s="26" t="s">
        <v>1817</v>
      </c>
      <c r="D11" s="13" t="s">
        <v>1818</v>
      </c>
      <c r="E11" s="13" t="s">
        <v>1819</v>
      </c>
    </row>
    <row r="12" customFormat="false" ht="51.75" hidden="false" customHeight="true" outlineLevel="0" collapsed="false">
      <c r="B12" s="84" t="s">
        <v>204</v>
      </c>
      <c r="C12" s="26" t="s">
        <v>1820</v>
      </c>
      <c r="D12" s="13" t="s">
        <v>1821</v>
      </c>
      <c r="E12" s="13" t="s">
        <v>1822</v>
      </c>
    </row>
    <row r="13" customFormat="false" ht="51.75" hidden="false" customHeight="true" outlineLevel="0" collapsed="false">
      <c r="B13" s="84" t="s">
        <v>211</v>
      </c>
      <c r="C13" s="26" t="s">
        <v>1636</v>
      </c>
      <c r="D13" s="13" t="s">
        <v>1823</v>
      </c>
      <c r="E13" s="13" t="s">
        <v>1824</v>
      </c>
    </row>
    <row r="14" customFormat="false" ht="51.75" hidden="false" customHeight="true" outlineLevel="0" collapsed="false">
      <c r="B14" s="84" t="s">
        <v>217</v>
      </c>
      <c r="C14" s="26" t="s">
        <v>1825</v>
      </c>
      <c r="D14" s="13" t="s">
        <v>1826</v>
      </c>
      <c r="E14" s="13" t="s">
        <v>1827</v>
      </c>
    </row>
    <row r="15" customFormat="false" ht="51.75" hidden="false" customHeight="true" outlineLevel="0" collapsed="false">
      <c r="B15" s="84" t="s">
        <v>224</v>
      </c>
      <c r="C15" s="26" t="s">
        <v>1828</v>
      </c>
      <c r="D15" s="13" t="s">
        <v>1829</v>
      </c>
      <c r="E15" s="13" t="s">
        <v>1830</v>
      </c>
    </row>
    <row r="16" customFormat="false" ht="51.75" hidden="false" customHeight="true" outlineLevel="0" collapsed="false">
      <c r="B16" s="84" t="s">
        <v>230</v>
      </c>
      <c r="C16" s="26" t="s">
        <v>215</v>
      </c>
      <c r="D16" s="13" t="s">
        <v>1831</v>
      </c>
      <c r="E16" s="13" t="s">
        <v>1832</v>
      </c>
    </row>
    <row r="17" customFormat="false" ht="51.75" hidden="false" customHeight="true" outlineLevel="0" collapsed="false">
      <c r="B17" s="84" t="s">
        <v>237</v>
      </c>
      <c r="C17" s="26" t="s">
        <v>1833</v>
      </c>
      <c r="D17" s="13" t="s">
        <v>1834</v>
      </c>
      <c r="E17" s="13" t="s">
        <v>1835</v>
      </c>
    </row>
    <row r="18" customFormat="false" ht="6.75" hidden="false" customHeight="true" outlineLevel="0" collapsed="false"/>
    <row r="19" customFormat="false" ht="21.75" hidden="false" customHeight="true" outlineLevel="0" collapsed="false">
      <c r="B19" s="3" t="s">
        <v>1836</v>
      </c>
      <c r="C19" s="3"/>
      <c r="D19" s="3"/>
      <c r="E19" s="3"/>
    </row>
    <row r="20" customFormat="false" ht="30" hidden="false" customHeight="true" outlineLevel="0" collapsed="false">
      <c r="B20" s="11" t="s">
        <v>1606</v>
      </c>
      <c r="C20" s="11" t="s">
        <v>1837</v>
      </c>
    </row>
    <row r="21" customFormat="false" ht="18" hidden="false" customHeight="true" outlineLevel="0" collapsed="false">
      <c r="B21" s="26" t="s">
        <v>1838</v>
      </c>
      <c r="C21" s="13" t="s">
        <v>1839</v>
      </c>
    </row>
    <row r="22" customFormat="false" ht="18" hidden="false" customHeight="true" outlineLevel="0" collapsed="false">
      <c r="B22" s="26" t="s">
        <v>1840</v>
      </c>
      <c r="C22" s="13" t="s">
        <v>1841</v>
      </c>
    </row>
    <row r="23" customFormat="false" ht="18" hidden="false" customHeight="true" outlineLevel="0" collapsed="false">
      <c r="B23" s="26" t="s">
        <v>1842</v>
      </c>
      <c r="C23" s="13" t="s">
        <v>1843</v>
      </c>
    </row>
    <row r="24" customFormat="false" ht="18" hidden="false" customHeight="true" outlineLevel="0" collapsed="false">
      <c r="B24" s="26" t="s">
        <v>1844</v>
      </c>
      <c r="C24" s="13" t="s">
        <v>1845</v>
      </c>
    </row>
    <row r="25" customFormat="false" ht="18" hidden="false" customHeight="true" outlineLevel="0" collapsed="false">
      <c r="B25" s="26" t="s">
        <v>1846</v>
      </c>
      <c r="C25" s="13" t="s">
        <v>1847</v>
      </c>
    </row>
    <row r="26" customFormat="false" ht="18" hidden="false" customHeight="true" outlineLevel="0" collapsed="false">
      <c r="B26" s="26" t="s">
        <v>1848</v>
      </c>
      <c r="C26" s="13" t="s">
        <v>1849</v>
      </c>
    </row>
    <row r="27" customFormat="false" ht="18" hidden="false" customHeight="true" outlineLevel="0" collapsed="false">
      <c r="B27" s="26" t="s">
        <v>1850</v>
      </c>
      <c r="C27" s="13" t="s">
        <v>1851</v>
      </c>
    </row>
    <row r="28" customFormat="false" ht="6.75" hidden="false" customHeight="true" outlineLevel="0" collapsed="false"/>
    <row r="29" customFormat="false" ht="45" hidden="false" customHeight="true" outlineLevel="0" collapsed="false">
      <c r="B29" s="10" t="s">
        <v>1852</v>
      </c>
      <c r="C29" s="10"/>
      <c r="D29" s="10"/>
      <c r="E29" s="10"/>
    </row>
  </sheetData>
  <mergeCells count="5">
    <mergeCell ref="B2:E2"/>
    <mergeCell ref="B3:E3"/>
    <mergeCell ref="B5:E5"/>
    <mergeCell ref="B19:E19"/>
    <mergeCell ref="B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2026-09-02T13:52:06Z</dcterms:created>
  <dc:creator>openpyxl</dc:creator>
  <dc:description/>
  <dc:language>en-US</dc:language>
  <cp:lastModifiedBy/>
  <dcterms:modified xsi:type="dcterms:W3CDTF">2026-09-02T13:52:07Z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